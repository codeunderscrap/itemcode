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Plan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Needs Your Input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Decisions" sheetId="6" state="visible" r:id="rId6"/>
    <sheet xmlns:r="http://schemas.openxmlformats.org/officeDocument/2006/relationships" name="Definition of Done" sheetId="7" state="visible" r:id="rId7"/>
  </sheets>
  <definedNames>
    <definedName name="_xlnm._FilterDatabase" localSheetId="0" hidden="1">'Delivery Plan'!$A$4:$J$85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1B2E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001B2E"/>
      </patternFill>
    </fill>
    <fill>
      <patternFill patternType="solid">
        <fgColor rgb="00E8F4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3B6E93"/>
      </patternFill>
    </fill>
    <fill>
      <patternFill patternType="solid">
        <fgColor rgb="00C6E0B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5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/>
    </xf>
    <xf numFmtId="9" fontId="4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6" customWidth="1" min="3" max="3"/>
    <col width="64" customWidth="1" min="4" max="4"/>
    <col width="9" customWidth="1" min="5" max="5"/>
    <col width="8" customWidth="1" min="6" max="6"/>
    <col width="13" customWidth="1" min="7" max="7"/>
    <col width="12" customWidth="1" min="8" max="8"/>
    <col width="12" customWidth="1" min="9" max="9"/>
    <col width="34" customWidth="1" min="10" max="10"/>
  </cols>
  <sheetData>
    <row r="1">
      <c r="A1" s="1" t="inlineStr">
        <is>
          <t>Item Code Studio — Delivery Plan</t>
        </is>
      </c>
    </row>
    <row r="2">
      <c r="A2" s="2" t="inlineStr">
        <is>
          <t>Prepared for Anuraag · 6 August 2026 · v2.0 · R1-R5 are today's build runs.  S0 = already built and verified.  NEEDS INPUT = cannot be done by me; the Notes column says what is required.</t>
        </is>
      </c>
    </row>
    <row r="4">
      <c r="A4" s="3" t="inlineStr">
        <is>
          <t>ID</t>
        </is>
      </c>
      <c r="B4" s="3" t="inlineStr">
        <is>
          <t>Epic</t>
        </is>
      </c>
      <c r="C4" s="3" t="inlineStr">
        <is>
          <t>Story</t>
        </is>
      </c>
      <c r="D4" s="3" t="inlineStr">
        <is>
          <t>Acceptance criteria</t>
        </is>
      </c>
      <c r="E4" s="3" t="inlineStr">
        <is>
          <t>Priority</t>
        </is>
      </c>
      <c r="F4" s="3" t="inlineStr">
        <is>
          <t>Points</t>
        </is>
      </c>
      <c r="G4" s="3" t="inlineStr">
        <is>
          <t>Run</t>
        </is>
      </c>
      <c r="H4" s="3" t="inlineStr">
        <is>
          <t>Status</t>
        </is>
      </c>
      <c r="I4" s="3" t="inlineStr">
        <is>
          <t>Depends on</t>
        </is>
      </c>
      <c r="J4" s="3" t="inlineStr">
        <is>
          <t>Notes</t>
        </is>
      </c>
    </row>
    <row r="5" ht="30" customHeight="1">
      <c r="A5" s="4" t="inlineStr">
        <is>
          <t>K1</t>
        </is>
      </c>
      <c r="B5" s="5" t="inlineStr">
        <is>
          <t>E0 Brand &amp; Shell</t>
        </is>
      </c>
      <c r="C5" s="5" t="inlineStr">
        <is>
          <t>Apply the MiniMines theme</t>
        </is>
      </c>
      <c r="D5" s="5" t="inlineStr">
        <is>
          <t>Palette from m-mines.com (#001b2e navy, #04aed1 teal, #3b6e93 steel), Barlow typeface, minimines-logo.svg in the header. Light and dark both legible.</t>
        </is>
      </c>
      <c r="E5" s="4" t="inlineStr">
        <is>
          <t>Must</t>
        </is>
      </c>
      <c r="F5" s="4" t="n">
        <v>5</v>
      </c>
      <c r="G5" s="4" t="inlineStr">
        <is>
          <t>R1</t>
        </is>
      </c>
      <c r="H5" s="4" t="inlineStr">
        <is>
          <t>Not started</t>
        </is>
      </c>
      <c r="I5" s="4" t="inlineStr"/>
      <c r="J5" s="5" t="inlineStr">
        <is>
          <t>Reused from ATT_Platform, not reinvented</t>
        </is>
      </c>
    </row>
    <row r="6" ht="30" customHeight="1">
      <c r="A6" s="6" t="inlineStr">
        <is>
          <t>K2</t>
        </is>
      </c>
      <c r="B6" s="7" t="inlineStr">
        <is>
          <t>E0 Brand &amp; Shell</t>
        </is>
      </c>
      <c r="C6" s="7" t="inlineStr">
        <is>
          <t>Remove the stats block</t>
        </is>
      </c>
      <c r="D6" s="7" t="inlineStr">
        <is>
          <t>The counts panel in the bottom-left corner is gone. Nothing shifts or leaves a gap.</t>
        </is>
      </c>
      <c r="E6" s="6" t="inlineStr">
        <is>
          <t>Must</t>
        </is>
      </c>
      <c r="F6" s="6" t="n">
        <v>1</v>
      </c>
      <c r="G6" s="6" t="inlineStr">
        <is>
          <t>R1</t>
        </is>
      </c>
      <c r="H6" s="6" t="inlineStr">
        <is>
          <t>Not started</t>
        </is>
      </c>
      <c r="I6" s="6" t="inlineStr">
        <is>
          <t>K1</t>
        </is>
      </c>
      <c r="J6" s="7" t="inlineStr">
        <is>
          <t>Your instruction</t>
        </is>
      </c>
    </row>
    <row r="7" ht="30" customHeight="1">
      <c r="A7" s="4" t="inlineStr">
        <is>
          <t>A1</t>
        </is>
      </c>
      <c r="B7" s="5" t="inlineStr">
        <is>
          <t>E1 Access &amp; Identity</t>
        </is>
      </c>
      <c r="C7" s="5" t="inlineStr">
        <is>
          <t>Split landing page</t>
        </is>
      </c>
      <c r="D7" s="5" t="inlineStr">
        <is>
          <t>One page, two halves: Decoder left, Directory right, Log in top-right. No credentials needed to use either half.</t>
        </is>
      </c>
      <c r="E7" s="4" t="inlineStr">
        <is>
          <t>Must</t>
        </is>
      </c>
      <c r="F7" s="4" t="n">
        <v>8</v>
      </c>
      <c r="G7" s="4" t="inlineStr">
        <is>
          <t>R1</t>
        </is>
      </c>
      <c r="H7" s="4" t="inlineStr">
        <is>
          <t>Not started</t>
        </is>
      </c>
      <c r="I7" s="4" t="inlineStr">
        <is>
          <t>K1</t>
        </is>
      </c>
      <c r="J7" s="5" t="inlineStr">
        <is>
          <t>The main page for everyone</t>
        </is>
      </c>
    </row>
    <row r="8" ht="30" customHeight="1">
      <c r="A8" s="6" t="inlineStr">
        <is>
          <t>A2</t>
        </is>
      </c>
      <c r="B8" s="7" t="inlineStr">
        <is>
          <t>E1 Access &amp; Identity</t>
        </is>
      </c>
      <c r="C8" s="7" t="inlineStr">
        <is>
          <t>Decoder half</t>
        </is>
      </c>
      <c r="D8" s="7" t="inlineStr">
        <is>
          <t>Paste any code, get head, sub-head, group, every spec with its per-group label, vendor. 00 reads 'not applicable'. Malformed input explains why.</t>
        </is>
      </c>
      <c r="E8" s="6" t="inlineStr">
        <is>
          <t>Must</t>
        </is>
      </c>
      <c r="F8" s="6" t="n">
        <v>3</v>
      </c>
      <c r="G8" s="6" t="inlineStr">
        <is>
          <t>R1</t>
        </is>
      </c>
      <c r="H8" s="6" t="inlineStr">
        <is>
          <t>Not started</t>
        </is>
      </c>
      <c r="I8" s="6" t="inlineStr">
        <is>
          <t>A1</t>
        </is>
      </c>
      <c r="J8" s="7" t="inlineStr"/>
    </row>
    <row r="9" ht="30" customHeight="1">
      <c r="A9" s="4" t="inlineStr">
        <is>
          <t>A4</t>
        </is>
      </c>
      <c r="B9" s="5" t="inlineStr">
        <is>
          <t>E1 Access &amp; Identity</t>
        </is>
      </c>
      <c r="C9" s="5" t="inlineStr">
        <is>
          <t>Directory half</t>
        </is>
      </c>
      <c r="D9" s="5" t="inlineStr">
        <is>
          <t>Search 1,947 items by code, name or description. Row opens a read-only detail card.</t>
        </is>
      </c>
      <c r="E9" s="4" t="inlineStr">
        <is>
          <t>Must</t>
        </is>
      </c>
      <c r="F9" s="4" t="n">
        <v>5</v>
      </c>
      <c r="G9" s="4" t="inlineStr">
        <is>
          <t>R1</t>
        </is>
      </c>
      <c r="H9" s="4" t="inlineStr">
        <is>
          <t>Not started</t>
        </is>
      </c>
      <c r="I9" s="4" t="inlineStr">
        <is>
          <t>A1</t>
        </is>
      </c>
      <c r="J9" s="5" t="inlineStr"/>
    </row>
    <row r="10" ht="30" customHeight="1">
      <c r="A10" s="6" t="inlineStr">
        <is>
          <t>A3</t>
        </is>
      </c>
      <c r="B10" s="7" t="inlineStr">
        <is>
          <t>E1 Access &amp; Identity</t>
        </is>
      </c>
      <c r="C10" s="7" t="inlineStr">
        <is>
          <t>Dictionary browse</t>
        </is>
      </c>
      <c r="D10" s="7" t="inlineStr">
        <is>
          <t>Search 889 groups; open one to see its spec slots and values. Reachable from the directory half.</t>
        </is>
      </c>
      <c r="E10" s="6" t="inlineStr">
        <is>
          <t>Must</t>
        </is>
      </c>
      <c r="F10" s="6" t="n">
        <v>3</v>
      </c>
      <c r="G10" s="6" t="inlineStr">
        <is>
          <t>R1</t>
        </is>
      </c>
      <c r="H10" s="6" t="inlineStr">
        <is>
          <t>Not started</t>
        </is>
      </c>
      <c r="I10" s="6" t="inlineStr">
        <is>
          <t>A4</t>
        </is>
      </c>
      <c r="J10" s="7" t="inlineStr"/>
    </row>
    <row r="11" ht="30" customHeight="1">
      <c r="A11" s="4" t="inlineStr">
        <is>
          <t>A8</t>
        </is>
      </c>
      <c r="B11" s="5" t="inlineStr">
        <is>
          <t>E1 Access &amp; Identity</t>
        </is>
      </c>
      <c r="C11" s="5" t="inlineStr">
        <is>
          <t>Server-side write protection</t>
        </is>
      </c>
      <c r="D11" s="5" t="inlineStr">
        <is>
          <t>Every mutating endpoint returns 401 to an unauthenticated caller invoked directly, not merely hidden in the interface.</t>
        </is>
      </c>
      <c r="E11" s="4" t="inlineStr">
        <is>
          <t>Must</t>
        </is>
      </c>
      <c r="F11" s="4" t="n">
        <v>3</v>
      </c>
      <c r="G11" s="4" t="inlineStr">
        <is>
          <t>R1</t>
        </is>
      </c>
      <c r="H11" s="4" t="inlineStr">
        <is>
          <t>Not started</t>
        </is>
      </c>
      <c r="I11" s="4" t="inlineStr"/>
      <c r="J11" s="5" t="inlineStr">
        <is>
          <t>The actual boundary</t>
        </is>
      </c>
    </row>
    <row r="12" ht="30" customHeight="1">
      <c r="A12" s="6" t="inlineStr">
        <is>
          <t>A5</t>
        </is>
      </c>
      <c r="B12" s="7" t="inlineStr">
        <is>
          <t>E1 Access &amp; Identity</t>
        </is>
      </c>
      <c r="C12" s="7" t="inlineStr">
        <is>
          <t>Login</t>
        </is>
      </c>
      <c r="D12" s="7" t="inlineStr">
        <is>
          <t>Username and password against the user table, scrypt hashed. Bad credentials give one generic message.</t>
        </is>
      </c>
      <c r="E12" s="6" t="inlineStr">
        <is>
          <t>Must</t>
        </is>
      </c>
      <c r="F12" s="6" t="n">
        <v>5</v>
      </c>
      <c r="G12" s="6" t="inlineStr">
        <is>
          <t>R2</t>
        </is>
      </c>
      <c r="H12" s="6" t="inlineStr">
        <is>
          <t>Not started</t>
        </is>
      </c>
      <c r="I12" s="6" t="inlineStr">
        <is>
          <t>A8</t>
        </is>
      </c>
      <c r="J12" s="7" t="inlineStr">
        <is>
          <t>Simple by instruction</t>
        </is>
      </c>
    </row>
    <row r="13" ht="30" customHeight="1">
      <c r="A13" s="4" t="inlineStr">
        <is>
          <t>A6</t>
        </is>
      </c>
      <c r="B13" s="5" t="inlineStr">
        <is>
          <t>E1 Access &amp; Identity</t>
        </is>
      </c>
      <c r="C13" s="5" t="inlineStr">
        <is>
          <t>Session handling</t>
        </is>
      </c>
      <c r="D13" s="5" t="inlineStr">
        <is>
          <t>HMAC-signed HttpOnly cookie, 12h expiry, logout clears it. Expiry returns to the landing page, never a blank screen.</t>
        </is>
      </c>
      <c r="E13" s="4" t="inlineStr">
        <is>
          <t>Must</t>
        </is>
      </c>
      <c r="F13" s="4" t="n">
        <v>3</v>
      </c>
      <c r="G13" s="4" t="inlineStr">
        <is>
          <t>R2</t>
        </is>
      </c>
      <c r="H13" s="4" t="inlineStr">
        <is>
          <t>Not started</t>
        </is>
      </c>
      <c r="I13" s="4" t="inlineStr">
        <is>
          <t>A5</t>
        </is>
      </c>
      <c r="J13" s="5" t="inlineStr"/>
    </row>
    <row r="14" ht="30" customHeight="1">
      <c r="A14" s="6" t="inlineStr">
        <is>
          <t>A9</t>
        </is>
      </c>
      <c r="B14" s="7" t="inlineStr">
        <is>
          <t>E1 Access &amp; Identity</t>
        </is>
      </c>
      <c r="C14" s="7" t="inlineStr">
        <is>
          <t>Attribution from session</t>
        </is>
      </c>
      <c r="D14" s="7" t="inlineStr">
        <is>
          <t>created_by comes from the session. The forgeable X-User header is deleted from the codebase.</t>
        </is>
      </c>
      <c r="E14" s="6" t="inlineStr">
        <is>
          <t>Must</t>
        </is>
      </c>
      <c r="F14" s="6" t="n">
        <v>2</v>
      </c>
      <c r="G14" s="6" t="inlineStr">
        <is>
          <t>R2</t>
        </is>
      </c>
      <c r="H14" s="6" t="inlineStr">
        <is>
          <t>Not started</t>
        </is>
      </c>
      <c r="I14" s="6" t="inlineStr">
        <is>
          <t>A6</t>
        </is>
      </c>
      <c r="J14" s="7" t="inlineStr">
        <is>
          <t>Closes a real hole</t>
        </is>
      </c>
    </row>
    <row r="15" ht="30" customHeight="1">
      <c r="A15" s="4" t="inlineStr">
        <is>
          <t>A7</t>
        </is>
      </c>
      <c r="B15" s="5" t="inlineStr">
        <is>
          <t>E1 Access &amp; Identity</t>
        </is>
      </c>
      <c r="C15" s="5" t="inlineStr">
        <is>
          <t>Creator shell</t>
        </is>
      </c>
      <c r="D15" s="5" t="inlineStr">
        <is>
          <t>After login: Create, Item master, Activity. The landing page stays reachable while logged in.</t>
        </is>
      </c>
      <c r="E15" s="4" t="inlineStr">
        <is>
          <t>Must</t>
        </is>
      </c>
      <c r="F15" s="4" t="n">
        <v>3</v>
      </c>
      <c r="G15" s="4" t="inlineStr">
        <is>
          <t>R2</t>
        </is>
      </c>
      <c r="H15" s="4" t="inlineStr">
        <is>
          <t>Not started</t>
        </is>
      </c>
      <c r="I15" s="4" t="inlineStr">
        <is>
          <t>A6</t>
        </is>
      </c>
      <c r="J15" s="5" t="inlineStr"/>
    </row>
    <row r="16" ht="30" customHeight="1">
      <c r="A16" s="6" t="inlineStr">
        <is>
          <t>A10</t>
        </is>
      </c>
      <c r="B16" s="7" t="inlineStr">
        <is>
          <t>E1 Access &amp; Identity</t>
        </is>
      </c>
      <c r="C16" s="7" t="inlineStr">
        <is>
          <t>User management</t>
        </is>
      </c>
      <c r="D16" s="7" t="inlineStr">
        <is>
          <t>manage.py adduser / disable / resetpw. At least one active creator must always remain.</t>
        </is>
      </c>
      <c r="E16" s="6" t="inlineStr">
        <is>
          <t>Must</t>
        </is>
      </c>
      <c r="F16" s="6" t="n">
        <v>3</v>
      </c>
      <c r="G16" s="6" t="inlineStr">
        <is>
          <t>R2</t>
        </is>
      </c>
      <c r="H16" s="6" t="inlineStr">
        <is>
          <t>Not started</t>
        </is>
      </c>
      <c r="I16" s="6" t="inlineStr">
        <is>
          <t>A5</t>
        </is>
      </c>
      <c r="J16" s="7" t="inlineStr">
        <is>
          <t>CLI is enough at this size</t>
        </is>
      </c>
    </row>
    <row r="17" ht="30" customHeight="1">
      <c r="A17" s="4" t="inlineStr">
        <is>
          <t>A11</t>
        </is>
      </c>
      <c r="B17" s="5" t="inlineStr">
        <is>
          <t>E1 Access &amp; Identity</t>
        </is>
      </c>
      <c r="C17" s="5" t="inlineStr">
        <is>
          <t>Change own password</t>
        </is>
      </c>
      <c r="D17" s="5" t="inlineStr">
        <is>
          <t>A logged-in creator can change their password; the old one is required.</t>
        </is>
      </c>
      <c r="E17" s="4" t="inlineStr">
        <is>
          <t>Should</t>
        </is>
      </c>
      <c r="F17" s="4" t="n">
        <v>2</v>
      </c>
      <c r="G17" s="4" t="inlineStr">
        <is>
          <t>R2</t>
        </is>
      </c>
      <c r="H17" s="4" t="inlineStr">
        <is>
          <t>Not started</t>
        </is>
      </c>
      <c r="I17" s="4" t="inlineStr">
        <is>
          <t>A5</t>
        </is>
      </c>
      <c r="J17" s="5" t="inlineStr"/>
    </row>
    <row r="18" ht="30" customHeight="1">
      <c r="A18" s="6" t="inlineStr">
        <is>
          <t>C10</t>
        </is>
      </c>
      <c r="B18" s="7" t="inlineStr">
        <is>
          <t>E3 Code Engine</t>
        </is>
      </c>
      <c r="C18" s="7" t="inlineStr">
        <is>
          <t>Create screen with the three phases</t>
        </is>
      </c>
      <c r="D18" s="7" t="inlineStr">
        <is>
          <t>Paste or upload, then every line shows what phase 1 found, which group phase 2 chose, and what phase 3 read into each slot.</t>
        </is>
      </c>
      <c r="E18" s="6" t="inlineStr">
        <is>
          <t>Must</t>
        </is>
      </c>
      <c r="F18" s="6" t="n">
        <v>5</v>
      </c>
      <c r="G18" s="6" t="inlineStr">
        <is>
          <t>R3</t>
        </is>
      </c>
      <c r="H18" s="6" t="inlineStr">
        <is>
          <t>Not started</t>
        </is>
      </c>
      <c r="I18" s="6" t="inlineStr">
        <is>
          <t>A7</t>
        </is>
      </c>
      <c r="J18" s="7" t="inlineStr">
        <is>
          <t>Engine exists; this is the gated screen</t>
        </is>
      </c>
    </row>
    <row r="19" ht="30" customHeight="1">
      <c r="A19" s="4" t="inlineStr">
        <is>
          <t>F8</t>
        </is>
      </c>
      <c r="B19" s="5" t="inlineStr">
        <is>
          <t>E5 Invoice &amp; OCR</t>
        </is>
      </c>
      <c r="C19" s="5" t="inlineStr">
        <is>
          <t>Invoice upload wired into Create</t>
        </is>
      </c>
      <c r="D19" s="5" t="inlineStr">
        <is>
          <t>Drop a PDF, scan, photo, Excel or CSV and get one row per line item, each resolving independently.</t>
        </is>
      </c>
      <c r="E19" s="4" t="inlineStr">
        <is>
          <t>Must</t>
        </is>
      </c>
      <c r="F19" s="4" t="n">
        <v>5</v>
      </c>
      <c r="G19" s="4" t="inlineStr">
        <is>
          <t>R3</t>
        </is>
      </c>
      <c r="H19" s="4" t="inlineStr">
        <is>
          <t>Not started</t>
        </is>
      </c>
      <c r="I19" s="4" t="inlineStr">
        <is>
          <t>C10</t>
        </is>
      </c>
      <c r="J19" s="5" t="inlineStr">
        <is>
          <t>Engine exists</t>
        </is>
      </c>
    </row>
    <row r="20" ht="30" customHeight="1">
      <c r="A20" s="6" t="inlineStr">
        <is>
          <t>K3</t>
        </is>
      </c>
      <c r="B20" s="7" t="inlineStr">
        <is>
          <t>E6 Master &amp; Restructure</t>
        </is>
      </c>
      <c r="C20" s="7" t="inlineStr">
        <is>
          <t>Conditional cascading dropdowns</t>
        </is>
      </c>
      <c r="D20" s="7" t="inlineStr">
        <is>
          <t>Choosing a head filters sub-heads to that head. Choosing a sub-head filters groups to that sub-head only. Choosing a group re-renders its spec slots with that group's labels.</t>
        </is>
      </c>
      <c r="E20" s="6" t="inlineStr">
        <is>
          <t>Must</t>
        </is>
      </c>
      <c r="F20" s="6" t="n">
        <v>8</v>
      </c>
      <c r="G20" s="6" t="inlineStr">
        <is>
          <t>R3</t>
        </is>
      </c>
      <c r="H20" s="6" t="inlineStr">
        <is>
          <t>Not started</t>
        </is>
      </c>
      <c r="I20" s="6" t="inlineStr">
        <is>
          <t>C10</t>
        </is>
      </c>
      <c r="J20" s="7" t="inlineStr">
        <is>
          <t>Core of your edit requirement</t>
        </is>
      </c>
    </row>
    <row r="21" ht="30" customHeight="1">
      <c r="A21" s="4" t="inlineStr">
        <is>
          <t>K4</t>
        </is>
      </c>
      <c r="B21" s="5" t="inlineStr">
        <is>
          <t>E6 Master &amp; Restructure</t>
        </is>
      </c>
      <c r="C21" s="5" t="inlineStr">
        <is>
          <t>Live code recomputation</t>
        </is>
      </c>
      <c r="D21" s="5" t="inlineStr">
        <is>
          <t>Any change to head, sub-head, group, spec or vendor recomputes the code immediately, obeying the interior-00 and trailing-truncate rules.</t>
        </is>
      </c>
      <c r="E21" s="4" t="inlineStr">
        <is>
          <t>Must</t>
        </is>
      </c>
      <c r="F21" s="4" t="n">
        <v>5</v>
      </c>
      <c r="G21" s="4" t="inlineStr">
        <is>
          <t>R3</t>
        </is>
      </c>
      <c r="H21" s="4" t="inlineStr">
        <is>
          <t>Not started</t>
        </is>
      </c>
      <c r="I21" s="4" t="inlineStr">
        <is>
          <t>K3</t>
        </is>
      </c>
      <c r="J21" s="5" t="inlineStr"/>
    </row>
    <row r="22" ht="30" customHeight="1">
      <c r="A22" s="6" t="inlineStr">
        <is>
          <t>K5</t>
        </is>
      </c>
      <c r="B22" s="7" t="inlineStr">
        <is>
          <t>E6 Master &amp; Restructure</t>
        </is>
      </c>
      <c r="C22" s="7" t="inlineStr">
        <is>
          <t>Edit before submit</t>
        </is>
      </c>
      <c r="D22" s="7" t="inlineStr">
        <is>
          <t>Every proposed code carries an Edit control. Nothing is written until Submit.</t>
        </is>
      </c>
      <c r="E22" s="6" t="inlineStr">
        <is>
          <t>Must</t>
        </is>
      </c>
      <c r="F22" s="6" t="n">
        <v>3</v>
      </c>
      <c r="G22" s="6" t="inlineStr">
        <is>
          <t>R3</t>
        </is>
      </c>
      <c r="H22" s="6" t="inlineStr">
        <is>
          <t>Not started</t>
        </is>
      </c>
      <c r="I22" s="6" t="inlineStr">
        <is>
          <t>K4</t>
        </is>
      </c>
      <c r="J22" s="7" t="inlineStr"/>
    </row>
    <row r="23" ht="30" customHeight="1">
      <c r="A23" s="4" t="inlineStr">
        <is>
          <t>B5</t>
        </is>
      </c>
      <c r="B23" s="5" t="inlineStr">
        <is>
          <t>E2 API v1</t>
        </is>
      </c>
      <c r="C23" s="5" t="inlineStr">
        <is>
          <t>Idempotent commit</t>
        </is>
      </c>
      <c r="D23" s="5" t="inlineStr">
        <is>
          <t>A commit carries a client token; replaying it returns the original code instead of issuing a second.</t>
        </is>
      </c>
      <c r="E23" s="4" t="inlineStr">
        <is>
          <t>Must</t>
        </is>
      </c>
      <c r="F23" s="4" t="n">
        <v>3</v>
      </c>
      <c r="G23" s="4" t="inlineStr">
        <is>
          <t>R3</t>
        </is>
      </c>
      <c r="H23" s="4" t="inlineStr">
        <is>
          <t>Not started</t>
        </is>
      </c>
      <c r="I23" s="4" t="inlineStr">
        <is>
          <t>K5</t>
        </is>
      </c>
      <c r="J23" s="5" t="inlineStr">
        <is>
          <t>Guards double-click</t>
        </is>
      </c>
    </row>
    <row r="24" ht="30" customHeight="1">
      <c r="A24" s="6" t="inlineStr">
        <is>
          <t>C8</t>
        </is>
      </c>
      <c r="B24" s="7" t="inlineStr">
        <is>
          <t>E3 Code Engine</t>
        </is>
      </c>
      <c r="C24" s="7" t="inlineStr">
        <is>
          <t>Concurrent issuance safety</t>
        </is>
      </c>
      <c r="D24" s="7" t="inlineStr">
        <is>
          <t>Two creators submitting in the same second cannot receive the same code. Proven by a concurrent test, not by argument.</t>
        </is>
      </c>
      <c r="E24" s="6" t="inlineStr">
        <is>
          <t>Must</t>
        </is>
      </c>
      <c r="F24" s="6" t="n">
        <v>5</v>
      </c>
      <c r="G24" s="6" t="inlineStr">
        <is>
          <t>R3</t>
        </is>
      </c>
      <c r="H24" s="6" t="inlineStr">
        <is>
          <t>Not started</t>
        </is>
      </c>
      <c r="I24" s="6" t="inlineStr">
        <is>
          <t>B5</t>
        </is>
      </c>
      <c r="J24" s="7" t="inlineStr"/>
    </row>
    <row r="25" ht="30" customHeight="1">
      <c r="A25" s="4" t="inlineStr">
        <is>
          <t>K6</t>
        </is>
      </c>
      <c r="B25" s="5" t="inlineStr">
        <is>
          <t>E6 Master &amp; Restructure</t>
        </is>
      </c>
      <c r="C25" s="5" t="inlineStr">
        <is>
          <t>Item master as an editable directory</t>
        </is>
      </c>
      <c r="D25" s="5" t="inlineStr">
        <is>
          <t>Same rows and columns as the public directory, every field editable in place, with the same cascading dropdowns.</t>
        </is>
      </c>
      <c r="E25" s="4" t="inlineStr">
        <is>
          <t>Must</t>
        </is>
      </c>
      <c r="F25" s="4" t="n">
        <v>8</v>
      </c>
      <c r="G25" s="4" t="inlineStr">
        <is>
          <t>R4</t>
        </is>
      </c>
      <c r="H25" s="4" t="inlineStr">
        <is>
          <t>Not started</t>
        </is>
      </c>
      <c r="I25" s="4" t="inlineStr">
        <is>
          <t>K3</t>
        </is>
      </c>
      <c r="J25" s="5" t="inlineStr">
        <is>
          <t>Your instruction</t>
        </is>
      </c>
    </row>
    <row r="26" ht="30" customHeight="1">
      <c r="A26" s="6" t="inlineStr">
        <is>
          <t>K7</t>
        </is>
      </c>
      <c r="B26" s="7" t="inlineStr">
        <is>
          <t>E6 Master &amp; Restructure</t>
        </is>
      </c>
      <c r="C26" s="7" t="inlineStr">
        <is>
          <t>Revision history</t>
        </is>
      </c>
      <c r="D26" s="7" t="inlineStr">
        <is>
          <t>Every save snapshots the whole row with who, when and what changed. Nothing is overwritten in place.</t>
        </is>
      </c>
      <c r="E26" s="6" t="inlineStr">
        <is>
          <t>Must</t>
        </is>
      </c>
      <c r="F26" s="6" t="n">
        <v>8</v>
      </c>
      <c r="G26" s="6" t="inlineStr">
        <is>
          <t>R4</t>
        </is>
      </c>
      <c r="H26" s="6" t="inlineStr">
        <is>
          <t>Not started</t>
        </is>
      </c>
      <c r="I26" s="6" t="inlineStr">
        <is>
          <t>K6</t>
        </is>
      </c>
      <c r="J26" s="7" t="inlineStr">
        <is>
          <t>The version-control requirement</t>
        </is>
      </c>
    </row>
    <row r="27" ht="30" customHeight="1">
      <c r="A27" s="4" t="inlineStr">
        <is>
          <t>K8</t>
        </is>
      </c>
      <c r="B27" s="5" t="inlineStr">
        <is>
          <t>E6 Master &amp; Restructure</t>
        </is>
      </c>
      <c r="C27" s="5" t="inlineStr">
        <is>
          <t>Revert to a previous version</t>
        </is>
      </c>
      <c r="D27" s="5" t="inlineStr">
        <is>
          <t>Any earlier version can be restored in one click. The revert is itself a new version, so it can be undone too.</t>
        </is>
      </c>
      <c r="E27" s="4" t="inlineStr">
        <is>
          <t>Must</t>
        </is>
      </c>
      <c r="F27" s="4" t="n">
        <v>5</v>
      </c>
      <c r="G27" s="4" t="inlineStr">
        <is>
          <t>R4</t>
        </is>
      </c>
      <c r="H27" s="4" t="inlineStr">
        <is>
          <t>Not started</t>
        </is>
      </c>
      <c r="I27" s="4" t="inlineStr">
        <is>
          <t>K7</t>
        </is>
      </c>
      <c r="J27" s="5" t="inlineStr"/>
    </row>
    <row r="28" ht="30" customHeight="1">
      <c r="A28" s="6" t="inlineStr">
        <is>
          <t>K9</t>
        </is>
      </c>
      <c r="B28" s="7" t="inlineStr">
        <is>
          <t>E6 Master &amp; Restructure</t>
        </is>
      </c>
      <c r="C28" s="7" t="inlineStr">
        <is>
          <t>Activity feed with diffs</t>
        </is>
      </c>
      <c r="D28" s="7" t="inlineStr">
        <is>
          <t>Activity shows field-level before and after, filterable by person, item and date, with Revert on each entry.</t>
        </is>
      </c>
      <c r="E28" s="6" t="inlineStr">
        <is>
          <t>Must</t>
        </is>
      </c>
      <c r="F28" s="6" t="n">
        <v>5</v>
      </c>
      <c r="G28" s="6" t="inlineStr">
        <is>
          <t>R4</t>
        </is>
      </c>
      <c r="H28" s="6" t="inlineStr">
        <is>
          <t>Not started</t>
        </is>
      </c>
      <c r="I28" s="6" t="inlineStr">
        <is>
          <t>K7</t>
        </is>
      </c>
      <c r="J28" s="7" t="inlineStr"/>
    </row>
    <row r="29" ht="30" customHeight="1">
      <c r="A29" s="8" t="inlineStr">
        <is>
          <t>G3</t>
        </is>
      </c>
      <c r="B29" s="9" t="inlineStr">
        <is>
          <t>E6 Master &amp; Restructure</t>
        </is>
      </c>
      <c r="C29" s="9" t="inlineStr">
        <is>
          <t>Move, merge, retire, rename</t>
        </is>
      </c>
      <c r="D29" s="9" t="inlineStr">
        <is>
          <t>Each shows a full impact preview listing what re-codes and what stays frozen.</t>
        </is>
      </c>
      <c r="E29" s="8" t="inlineStr">
        <is>
          <t>Must</t>
        </is>
      </c>
      <c r="F29" s="8" t="n">
        <v>8</v>
      </c>
      <c r="G29" s="8" t="inlineStr">
        <is>
          <t>S0</t>
        </is>
      </c>
      <c r="H29" s="8" t="inlineStr">
        <is>
          <t>Done</t>
        </is>
      </c>
      <c r="I29" s="8" t="inlineStr"/>
      <c r="J29" s="9" t="inlineStr">
        <is>
          <t>Built and tested on group Tissue</t>
        </is>
      </c>
    </row>
    <row r="30" ht="30" customHeight="1">
      <c r="A30" s="6" t="inlineStr">
        <is>
          <t>K10</t>
        </is>
      </c>
      <c r="B30" s="7" t="inlineStr">
        <is>
          <t>E6 Master &amp; Restructure</t>
        </is>
      </c>
      <c r="C30" s="7" t="inlineStr">
        <is>
          <t>Revert respects frozen codes</t>
        </is>
      </c>
      <c r="D30" s="7" t="inlineStr">
        <is>
          <t>A revert never rewrites a code that is live in ERPNext. It restores fields and says plainly what it could not restore.</t>
        </is>
      </c>
      <c r="E30" s="6" t="inlineStr">
        <is>
          <t>Must</t>
        </is>
      </c>
      <c r="F30" s="6" t="n">
        <v>5</v>
      </c>
      <c r="G30" s="6" t="inlineStr">
        <is>
          <t>R4</t>
        </is>
      </c>
      <c r="H30" s="6" t="inlineStr">
        <is>
          <t>Not started</t>
        </is>
      </c>
      <c r="I30" s="6" t="inlineStr">
        <is>
          <t>K8</t>
        </is>
      </c>
      <c r="J30" s="7" t="inlineStr">
        <is>
          <t>Where version control meets freeze-on-first-use</t>
        </is>
      </c>
    </row>
    <row r="31" ht="30" customHeight="1">
      <c r="A31" s="8" t="inlineStr">
        <is>
          <t>G5</t>
        </is>
      </c>
      <c r="B31" s="9" t="inlineStr">
        <is>
          <t>E6 Master &amp; Restructure</t>
        </is>
      </c>
      <c r="C31" s="9" t="inlineStr">
        <is>
          <t>Excel export</t>
        </is>
      </c>
      <c r="D31" s="9" t="inlineStr">
        <is>
          <t>Item_Master, Item_Code_Master, Code_Mapping and Audit_Trail in one workbook.</t>
        </is>
      </c>
      <c r="E31" s="8" t="inlineStr">
        <is>
          <t>Must</t>
        </is>
      </c>
      <c r="F31" s="8" t="n">
        <v>5</v>
      </c>
      <c r="G31" s="8" t="inlineStr">
        <is>
          <t>S0</t>
        </is>
      </c>
      <c r="H31" s="8" t="inlineStr">
        <is>
          <t>Done</t>
        </is>
      </c>
      <c r="I31" s="8" t="inlineStr"/>
      <c r="J31" s="9" t="inlineStr"/>
    </row>
    <row r="32" ht="30" customHeight="1">
      <c r="A32" s="6" t="inlineStr">
        <is>
          <t>B1</t>
        </is>
      </c>
      <c r="B32" s="7" t="inlineStr">
        <is>
          <t>E2 API v1</t>
        </is>
      </c>
      <c r="C32" s="7" t="inlineStr">
        <is>
          <t>Version and freeze the contract</t>
        </is>
      </c>
      <c r="D32" s="7" t="inlineStr">
        <is>
          <t>Everything served under /api/v1 exactly as the PDR documents it.</t>
        </is>
      </c>
      <c r="E32" s="6" t="inlineStr">
        <is>
          <t>Must</t>
        </is>
      </c>
      <c r="F32" s="6" t="n">
        <v>5</v>
      </c>
      <c r="G32" s="6" t="inlineStr">
        <is>
          <t>R5</t>
        </is>
      </c>
      <c r="H32" s="6" t="inlineStr">
        <is>
          <t>Not started</t>
        </is>
      </c>
      <c r="I32" s="6" t="inlineStr">
        <is>
          <t>A8</t>
        </is>
      </c>
      <c r="J32" s="7" t="inlineStr">
        <is>
          <t>So the larger system can build against it</t>
        </is>
      </c>
    </row>
    <row r="33" ht="30" customHeight="1">
      <c r="A33" s="4" t="inlineStr">
        <is>
          <t>B2</t>
        </is>
      </c>
      <c r="B33" s="5" t="inlineStr">
        <is>
          <t>E2 API v1</t>
        </is>
      </c>
      <c r="C33" s="5" t="inlineStr">
        <is>
          <t>Uniform error envelope</t>
        </is>
      </c>
      <c r="D33" s="5" t="inlineStr">
        <is>
          <t>Every failure returns ok:false with a stable machine code. No stack traces reach the client.</t>
        </is>
      </c>
      <c r="E33" s="4" t="inlineStr">
        <is>
          <t>Must</t>
        </is>
      </c>
      <c r="F33" s="4" t="n">
        <v>3</v>
      </c>
      <c r="G33" s="4" t="inlineStr">
        <is>
          <t>R5</t>
        </is>
      </c>
      <c r="H33" s="4" t="inlineStr">
        <is>
          <t>Not started</t>
        </is>
      </c>
      <c r="I33" s="4" t="inlineStr">
        <is>
          <t>B1</t>
        </is>
      </c>
      <c r="J33" s="5" t="inlineStr"/>
    </row>
    <row r="34" ht="30" customHeight="1">
      <c r="A34" s="6" t="inlineStr">
        <is>
          <t>B3</t>
        </is>
      </c>
      <c r="B34" s="7" t="inlineStr">
        <is>
          <t>E2 API v1</t>
        </is>
      </c>
      <c r="C34" s="7" t="inlineStr">
        <is>
          <t>Self-served API docs</t>
        </is>
      </c>
      <c r="D34" s="7" t="inlineStr">
        <is>
          <t>GET /api/docs lists every endpoint with request and response examples.</t>
        </is>
      </c>
      <c r="E34" s="6" t="inlineStr">
        <is>
          <t>Should</t>
        </is>
      </c>
      <c r="F34" s="6" t="n">
        <v>3</v>
      </c>
      <c r="G34" s="6" t="inlineStr">
        <is>
          <t>R5</t>
        </is>
      </c>
      <c r="H34" s="6" t="inlineStr">
        <is>
          <t>Not started</t>
        </is>
      </c>
      <c r="I34" s="6" t="inlineStr">
        <is>
          <t>B1</t>
        </is>
      </c>
      <c r="J34" s="7" t="inlineStr"/>
    </row>
    <row r="35" ht="30" customHeight="1">
      <c r="A35" s="4" t="inlineStr">
        <is>
          <t>B4</t>
        </is>
      </c>
      <c r="B35" s="5" t="inlineStr">
        <is>
          <t>E2 API v1</t>
        </is>
      </c>
      <c r="C35" s="5" t="inlineStr">
        <is>
          <t>Pagination and filtering</t>
        </is>
      </c>
      <c r="D35" s="5" t="inlineStr">
        <is>
          <t>List endpoints take q, limit, offset, status and return total alongside rows.</t>
        </is>
      </c>
      <c r="E35" s="4" t="inlineStr">
        <is>
          <t>Should</t>
        </is>
      </c>
      <c r="F35" s="4" t="n">
        <v>2</v>
      </c>
      <c r="G35" s="4" t="inlineStr">
        <is>
          <t>R5</t>
        </is>
      </c>
      <c r="H35" s="4" t="inlineStr">
        <is>
          <t>Not started</t>
        </is>
      </c>
      <c r="I35" s="4" t="inlineStr">
        <is>
          <t>B1</t>
        </is>
      </c>
      <c r="J35" s="5" t="inlineStr"/>
    </row>
    <row r="36" ht="30" customHeight="1">
      <c r="A36" s="6" t="inlineStr">
        <is>
          <t>B6</t>
        </is>
      </c>
      <c r="B36" s="7" t="inlineStr">
        <is>
          <t>E2 API v1</t>
        </is>
      </c>
      <c r="C36" s="7" t="inlineStr">
        <is>
          <t>Public endpoint hardening</t>
        </is>
      </c>
      <c r="D36" s="7" t="inlineStr">
        <is>
          <t>Payload caps and a simple per-IP rate limit on public reads.</t>
        </is>
      </c>
      <c r="E36" s="6" t="inlineStr">
        <is>
          <t>Should</t>
        </is>
      </c>
      <c r="F36" s="6" t="n">
        <v>2</v>
      </c>
      <c r="G36" s="6" t="inlineStr">
        <is>
          <t>R5</t>
        </is>
      </c>
      <c r="H36" s="6" t="inlineStr">
        <is>
          <t>Not started</t>
        </is>
      </c>
      <c r="I36" s="6" t="inlineStr">
        <is>
          <t>A8</t>
        </is>
      </c>
      <c r="J36" s="7" t="inlineStr"/>
    </row>
    <row r="37" ht="30" customHeight="1">
      <c r="A37" s="4" t="inlineStr">
        <is>
          <t>B7</t>
        </is>
      </c>
      <c r="B37" s="5" t="inlineStr">
        <is>
          <t>E2 API v1</t>
        </is>
      </c>
      <c r="C37" s="5" t="inlineStr">
        <is>
          <t>Smoke suite</t>
        </is>
      </c>
      <c r="D37" s="5" t="inlineStr">
        <is>
          <t>A stdlib script exercises every endpoint including auth failures and runs in under a minute.</t>
        </is>
      </c>
      <c r="E37" s="4" t="inlineStr">
        <is>
          <t>Must</t>
        </is>
      </c>
      <c r="F37" s="4" t="n">
        <v>5</v>
      </c>
      <c r="G37" s="4" t="inlineStr">
        <is>
          <t>R5</t>
        </is>
      </c>
      <c r="H37" s="4" t="inlineStr">
        <is>
          <t>Not started</t>
        </is>
      </c>
      <c r="I37" s="4" t="inlineStr">
        <is>
          <t>B2</t>
        </is>
      </c>
      <c r="J37" s="5" t="inlineStr"/>
    </row>
    <row r="38" ht="30" customHeight="1">
      <c r="A38" s="6" t="inlineStr">
        <is>
          <t>J7</t>
        </is>
      </c>
      <c r="B38" s="7" t="inlineStr">
        <is>
          <t>E9 Deploy &amp; Handover</t>
        </is>
      </c>
      <c r="C38" s="7" t="inlineStr">
        <is>
          <t>Deploy to the internal server</t>
        </is>
      </c>
      <c r="D38" s="7" t="inlineStr">
        <is>
          <t>Runs on the nominated machine, reachable by hostname on the LAN, starts on boot, survives a restart.</t>
        </is>
      </c>
      <c r="E38" s="6" t="inlineStr">
        <is>
          <t>Must</t>
        </is>
      </c>
      <c r="F38" s="6" t="n">
        <v>5</v>
      </c>
      <c r="G38" s="6" t="inlineStr">
        <is>
          <t>R5</t>
        </is>
      </c>
      <c r="H38" s="6" t="inlineStr">
        <is>
          <t>Not started</t>
        </is>
      </c>
      <c r="I38" s="6" t="inlineStr">
        <is>
          <t>B7</t>
        </is>
      </c>
      <c r="J38" s="7" t="inlineStr">
        <is>
          <t>Internal grade, not production grade</t>
        </is>
      </c>
    </row>
    <row r="39" ht="30" customHeight="1">
      <c r="A39" s="4" t="inlineStr">
        <is>
          <t>J2</t>
        </is>
      </c>
      <c r="B39" s="5" t="inlineStr">
        <is>
          <t>E9 Deploy &amp; Handover</t>
        </is>
      </c>
      <c r="C39" s="5" t="inlineStr">
        <is>
          <t>Automated backup</t>
        </is>
      </c>
      <c r="D39" s="5" t="inlineStr">
        <is>
          <t>Daily copy of itemcode.db plus a weekly Excel export, both written off the host machine.</t>
        </is>
      </c>
      <c r="E39" s="4" t="inlineStr">
        <is>
          <t>Must</t>
        </is>
      </c>
      <c r="F39" s="4" t="n">
        <v>3</v>
      </c>
      <c r="G39" s="4" t="inlineStr">
        <is>
          <t>R5</t>
        </is>
      </c>
      <c r="H39" s="4" t="inlineStr">
        <is>
          <t>Not started</t>
        </is>
      </c>
      <c r="I39" s="4" t="inlineStr">
        <is>
          <t>J7</t>
        </is>
      </c>
      <c r="J39" s="5" t="inlineStr"/>
    </row>
    <row r="40" ht="30" customHeight="1">
      <c r="A40" s="6" t="inlineStr">
        <is>
          <t>J8</t>
        </is>
      </c>
      <c r="B40" s="7" t="inlineStr">
        <is>
          <t>E9 Deploy &amp; Handover</t>
        </is>
      </c>
      <c r="C40" s="7" t="inlineStr">
        <is>
          <t>Seed and go-live check</t>
        </is>
      </c>
      <c r="D40" s="7" t="inlineStr">
        <is>
          <t>Fresh seed from the source workbooks on the server; counts match; a code is issued end to end.</t>
        </is>
      </c>
      <c r="E40" s="6" t="inlineStr">
        <is>
          <t>Must</t>
        </is>
      </c>
      <c r="F40" s="6" t="n">
        <v>3</v>
      </c>
      <c r="G40" s="6" t="inlineStr">
        <is>
          <t>R5</t>
        </is>
      </c>
      <c r="H40" s="6" t="inlineStr">
        <is>
          <t>Not started</t>
        </is>
      </c>
      <c r="I40" s="6" t="inlineStr">
        <is>
          <t>J7</t>
        </is>
      </c>
      <c r="J40" s="7" t="inlineStr"/>
    </row>
    <row r="41" ht="30" customHeight="1">
      <c r="A41" s="8" t="inlineStr">
        <is>
          <t>C1</t>
        </is>
      </c>
      <c r="B41" s="9" t="inlineStr">
        <is>
          <t>E3 Code Engine</t>
        </is>
      </c>
      <c r="C41" s="9" t="inlineStr">
        <is>
          <t>Code grammar assembly</t>
        </is>
      </c>
      <c r="D41" s="9" t="inlineStr">
        <is>
          <t>Interior gap 00, trailing gaps dropped, vendor forces 17. Only 7/9/11/13/15/17 accepted.</t>
        </is>
      </c>
      <c r="E41" s="8" t="inlineStr">
        <is>
          <t>Must</t>
        </is>
      </c>
      <c r="F41" s="8" t="n">
        <v>8</v>
      </c>
      <c r="G41" s="8" t="inlineStr">
        <is>
          <t>S0</t>
        </is>
      </c>
      <c r="H41" s="8" t="inlineStr">
        <is>
          <t>Done</t>
        </is>
      </c>
      <c r="I41" s="8" t="inlineStr"/>
      <c r="J41" s="9" t="inlineStr">
        <is>
          <t>Verified against RMBS0010206100007</t>
        </is>
      </c>
    </row>
    <row r="42" ht="30" customHeight="1">
      <c r="A42" s="8" t="inlineStr">
        <is>
          <t>C2</t>
        </is>
      </c>
      <c r="B42" s="9" t="inlineStr">
        <is>
          <t>E3 Code Engine</t>
        </is>
      </c>
      <c r="C42" s="9" t="inlineStr">
        <is>
          <t>Three-phase resolver</t>
        </is>
      </c>
      <c r="D42" s="9" t="inlineStr">
        <is>
          <t>Phase 1 stops on an existing code; phase 2 resolves head/sub-head/group; phase 3 resolves specs and vendor.</t>
        </is>
      </c>
      <c r="E42" s="8" t="inlineStr">
        <is>
          <t>Must</t>
        </is>
      </c>
      <c r="F42" s="8" t="n">
        <v>13</v>
      </c>
      <c r="G42" s="8" t="inlineStr">
        <is>
          <t>S0</t>
        </is>
      </c>
      <c r="H42" s="8" t="inlineStr">
        <is>
          <t>Done</t>
        </is>
      </c>
      <c r="I42" s="8" t="inlineStr">
        <is>
          <t>C1</t>
        </is>
      </c>
      <c r="J42" s="9" t="inlineStr"/>
    </row>
    <row r="43" ht="30" customHeight="1">
      <c r="A43" s="8" t="inlineStr">
        <is>
          <t>C3</t>
        </is>
      </c>
      <c r="B43" s="9" t="inlineStr">
        <is>
          <t>E3 Code Engine</t>
        </is>
      </c>
      <c r="C43" s="9" t="inlineStr">
        <is>
          <t>Prefix collision ladder</t>
        </is>
      </c>
      <c r="D43" s="9" t="inlineStr">
        <is>
          <t>A taken 4-letter prefix walks to the next free combination, checked against groups and live ERP codes.</t>
        </is>
      </c>
      <c r="E43" s="8" t="inlineStr">
        <is>
          <t>Must</t>
        </is>
      </c>
      <c r="F43" s="8" t="n">
        <v>3</v>
      </c>
      <c r="G43" s="8" t="inlineStr">
        <is>
          <t>S0</t>
        </is>
      </c>
      <c r="H43" s="8" t="inlineStr">
        <is>
          <t>Done</t>
        </is>
      </c>
      <c r="I43" s="8" t="inlineStr">
        <is>
          <t>C1</t>
        </is>
      </c>
      <c r="J43" s="9" t="inlineStr">
        <is>
          <t>CEEU preserved as seeded</t>
        </is>
      </c>
    </row>
    <row r="44" ht="30" customHeight="1">
      <c r="A44" s="8" t="inlineStr">
        <is>
          <t>C4</t>
        </is>
      </c>
      <c r="B44" s="9" t="inlineStr">
        <is>
          <t>E3 Code Engine</t>
        </is>
      </c>
      <c r="C44" s="9" t="inlineStr">
        <is>
          <t>Per-sub-head numbering and vacancies</t>
        </is>
      </c>
      <c r="D44" s="9" t="inlineStr">
        <is>
          <t>Numbers restart per sub-head. A moved group's number is parked, released only to a &gt;=88% name match.</t>
        </is>
      </c>
      <c r="E44" s="8" t="inlineStr">
        <is>
          <t>Must</t>
        </is>
      </c>
      <c r="F44" s="8" t="n">
        <v>5</v>
      </c>
      <c r="G44" s="8" t="inlineStr">
        <is>
          <t>S0</t>
        </is>
      </c>
      <c r="H44" s="8" t="inlineStr">
        <is>
          <t>Done</t>
        </is>
      </c>
      <c r="I44" s="8" t="inlineStr">
        <is>
          <t>C1</t>
        </is>
      </c>
      <c r="J44" s="9" t="inlineStr">
        <is>
          <t>Your rule</t>
        </is>
      </c>
    </row>
    <row r="45" ht="30" customHeight="1">
      <c r="A45" s="8" t="inlineStr">
        <is>
          <t>C5</t>
        </is>
      </c>
      <c r="B45" s="9" t="inlineStr">
        <is>
          <t>E3 Code Engine</t>
        </is>
      </c>
      <c r="C45" s="9" t="inlineStr">
        <is>
          <t>Freeze on first use</t>
        </is>
      </c>
      <c r="D45" s="9" t="inlineStr">
        <is>
          <t>A code live in ERPNext is never rewritten by a structural change; it is kept and flagged stale.</t>
        </is>
      </c>
      <c r="E45" s="8" t="inlineStr">
        <is>
          <t>Must</t>
        </is>
      </c>
      <c r="F45" s="8" t="n">
        <v>5</v>
      </c>
      <c r="G45" s="8" t="inlineStr">
        <is>
          <t>S0</t>
        </is>
      </c>
      <c r="H45" s="8" t="inlineStr">
        <is>
          <t>Done</t>
        </is>
      </c>
      <c r="I45" s="8" t="inlineStr">
        <is>
          <t>C4</t>
        </is>
      </c>
      <c r="J45" s="9" t="inlineStr">
        <is>
          <t>Needs your confirmation</t>
        </is>
      </c>
    </row>
    <row r="46" ht="30" customHeight="1">
      <c r="A46" s="8" t="inlineStr">
        <is>
          <t>C6</t>
        </is>
      </c>
      <c r="B46" s="9" t="inlineStr">
        <is>
          <t>E3 Code Engine</t>
        </is>
      </c>
      <c r="C46" s="9" t="inlineStr">
        <is>
          <t>Decoder with per-group labels</t>
        </is>
      </c>
      <c r="D46" s="9" t="inlineStr">
        <is>
          <t>Decode reports each slot's meaning for that group, and 00 as not applicable.</t>
        </is>
      </c>
      <c r="E46" s="8" t="inlineStr">
        <is>
          <t>Must</t>
        </is>
      </c>
      <c r="F46" s="8" t="n">
        <v>3</v>
      </c>
      <c r="G46" s="8" t="inlineStr">
        <is>
          <t>S0</t>
        </is>
      </c>
      <c r="H46" s="8" t="inlineStr">
        <is>
          <t>Done</t>
        </is>
      </c>
      <c r="I46" s="8" t="inlineStr">
        <is>
          <t>C1</t>
        </is>
      </c>
      <c r="J46" s="9" t="inlineStr"/>
    </row>
    <row r="47" ht="30" customHeight="1">
      <c r="A47" s="8" t="inlineStr">
        <is>
          <t>C7</t>
        </is>
      </c>
      <c r="B47" s="9" t="inlineStr">
        <is>
          <t>E3 Code Engine</t>
        </is>
      </c>
      <c r="C47" s="9" t="inlineStr">
        <is>
          <t>Ambiguous spec is a question</t>
        </is>
      </c>
      <c r="D47" s="9" t="inlineStr">
        <is>
          <t>A declared slot with no determinable value blocks submission; it is never auto-numbered.</t>
        </is>
      </c>
      <c r="E47" s="8" t="inlineStr">
        <is>
          <t>Must</t>
        </is>
      </c>
      <c r="F47" s="8" t="n">
        <v>3</v>
      </c>
      <c r="G47" s="8" t="inlineStr">
        <is>
          <t>S0</t>
        </is>
      </c>
      <c r="H47" s="8" t="inlineStr">
        <is>
          <t>Done</t>
        </is>
      </c>
      <c r="I47" s="8" t="inlineStr">
        <is>
          <t>C2</t>
        </is>
      </c>
      <c r="J47" s="9" t="inlineStr">
        <is>
          <t>Caught a real collision</t>
        </is>
      </c>
    </row>
    <row r="48" ht="30" customHeight="1">
      <c r="A48" s="8" t="inlineStr">
        <is>
          <t>D1</t>
        </is>
      </c>
      <c r="B48" s="9" t="inlineStr">
        <is>
          <t>E4 Matching &amp; LLM</t>
        </is>
      </c>
      <c r="C48" s="9" t="inlineStr">
        <is>
          <t>Deterministic normaliser</t>
        </is>
      </c>
      <c r="D48" s="9" t="inlineStr">
        <is>
          <t>Units, casing, punctuation, synonyms and noise words folded before scoring.</t>
        </is>
      </c>
      <c r="E48" s="8" t="inlineStr">
        <is>
          <t>Must</t>
        </is>
      </c>
      <c r="F48" s="8" t="n">
        <v>5</v>
      </c>
      <c r="G48" s="8" t="inlineStr">
        <is>
          <t>S0</t>
        </is>
      </c>
      <c r="H48" s="8" t="inlineStr">
        <is>
          <t>Done</t>
        </is>
      </c>
      <c r="I48" s="8" t="inlineStr"/>
      <c r="J48" s="9" t="inlineStr"/>
    </row>
    <row r="49" ht="30" customHeight="1">
      <c r="A49" s="8" t="inlineStr">
        <is>
          <t>D2</t>
        </is>
      </c>
      <c r="B49" s="9" t="inlineStr">
        <is>
          <t>E4 Matching &amp; LLM</t>
        </is>
      </c>
      <c r="C49" s="9" t="inlineStr">
        <is>
          <t>Blended fuzzy scorer</t>
        </is>
      </c>
      <c r="D49" s="9" t="inlineStr">
        <is>
          <t>0.45 token-set + 0.30 token-sort + 0.25 soft-Jaccard.</t>
        </is>
      </c>
      <c r="E49" s="8" t="inlineStr">
        <is>
          <t>Must</t>
        </is>
      </c>
      <c r="F49" s="8" t="n">
        <v>5</v>
      </c>
      <c r="G49" s="8" t="inlineStr">
        <is>
          <t>S0</t>
        </is>
      </c>
      <c r="H49" s="8" t="inlineStr">
        <is>
          <t>Done</t>
        </is>
      </c>
      <c r="I49" s="8" t="inlineStr">
        <is>
          <t>D1</t>
        </is>
      </c>
      <c r="J49" s="9" t="inlineStr">
        <is>
          <t>Single-metric gave a false 100%</t>
        </is>
      </c>
    </row>
    <row r="50" ht="30" customHeight="1">
      <c r="A50" s="8" t="inlineStr">
        <is>
          <t>D3</t>
        </is>
      </c>
      <c r="B50" s="9" t="inlineStr">
        <is>
          <t>E4 Matching &amp; LLM</t>
        </is>
      </c>
      <c r="C50" s="9" t="inlineStr">
        <is>
          <t>Alias learning</t>
        </is>
      </c>
      <c r="D50" s="9" t="inlineStr">
        <is>
          <t>An override is stored as an alias so the same wording resolves next time without an LLM call.</t>
        </is>
      </c>
      <c r="E50" s="8" t="inlineStr">
        <is>
          <t>Must</t>
        </is>
      </c>
      <c r="F50" s="8" t="n">
        <v>3</v>
      </c>
      <c r="G50" s="8" t="inlineStr">
        <is>
          <t>S0</t>
        </is>
      </c>
      <c r="H50" s="8" t="inlineStr">
        <is>
          <t>Done</t>
        </is>
      </c>
      <c r="I50" s="8" t="inlineStr">
        <is>
          <t>D1</t>
        </is>
      </c>
      <c r="J50" s="9" t="inlineStr"/>
    </row>
    <row r="51" ht="30" customHeight="1">
      <c r="A51" s="8" t="inlineStr">
        <is>
          <t>D4</t>
        </is>
      </c>
      <c r="B51" s="9" t="inlineStr">
        <is>
          <t>E4 Matching &amp; LLM</t>
        </is>
      </c>
      <c r="C51" s="9" t="inlineStr">
        <is>
          <t>LLM provider abstraction</t>
        </is>
      </c>
      <c r="D51" s="9" t="inlineStr">
        <is>
          <t>One config line switches anthropic / gemini / openai / ollama / none.</t>
        </is>
      </c>
      <c r="E51" s="8" t="inlineStr">
        <is>
          <t>Must</t>
        </is>
      </c>
      <c r="F51" s="8" t="n">
        <v>5</v>
      </c>
      <c r="G51" s="8" t="inlineStr">
        <is>
          <t>S0</t>
        </is>
      </c>
      <c r="H51" s="8" t="inlineStr">
        <is>
          <t>Done</t>
        </is>
      </c>
      <c r="I51" s="8" t="inlineStr"/>
      <c r="J51" s="9" t="inlineStr">
        <is>
          <t>Scaffold complete</t>
        </is>
      </c>
    </row>
    <row r="52" ht="30" customHeight="1">
      <c r="A52" s="8" t="inlineStr">
        <is>
          <t>D7</t>
        </is>
      </c>
      <c r="B52" s="9" t="inlineStr">
        <is>
          <t>E4 Matching &amp; LLM</t>
        </is>
      </c>
      <c r="C52" s="9" t="inlineStr">
        <is>
          <t>LLM guardrails</t>
        </is>
      </c>
      <c r="D52" s="9" t="inlineStr">
        <is>
          <t>The model may only pick from the shortlist or answer none. It can never mint a code.</t>
        </is>
      </c>
      <c r="E52" s="8" t="inlineStr">
        <is>
          <t>Must</t>
        </is>
      </c>
      <c r="F52" s="8" t="n">
        <v>3</v>
      </c>
      <c r="G52" s="8" t="inlineStr">
        <is>
          <t>S0</t>
        </is>
      </c>
      <c r="H52" s="8" t="inlineStr">
        <is>
          <t>Done</t>
        </is>
      </c>
      <c r="I52" s="8" t="inlineStr">
        <is>
          <t>D4</t>
        </is>
      </c>
      <c r="J52" s="9" t="inlineStr"/>
    </row>
    <row r="53" ht="30" customHeight="1">
      <c r="A53" s="4" t="inlineStr">
        <is>
          <t>D8</t>
        </is>
      </c>
      <c r="B53" s="5" t="inlineStr">
        <is>
          <t>E4 Matching &amp; LLM</t>
        </is>
      </c>
      <c r="C53" s="5" t="inlineStr">
        <is>
          <t>Graceful degradation</t>
        </is>
      </c>
      <c r="D53" s="5" t="inlineStr">
        <is>
          <t>Provider down or key invalid falls back to fuzzy plus a human question, never a crash.</t>
        </is>
      </c>
      <c r="E53" s="4" t="inlineStr">
        <is>
          <t>Must</t>
        </is>
      </c>
      <c r="F53" s="4" t="n">
        <v>2</v>
      </c>
      <c r="G53" s="4" t="inlineStr">
        <is>
          <t>R5</t>
        </is>
      </c>
      <c r="H53" s="4" t="inlineStr">
        <is>
          <t>Not started</t>
        </is>
      </c>
      <c r="I53" s="4" t="inlineStr">
        <is>
          <t>D4</t>
        </is>
      </c>
      <c r="J53" s="5" t="inlineStr"/>
    </row>
    <row r="54" ht="30" customHeight="1">
      <c r="A54" s="8" t="inlineStr">
        <is>
          <t>F1</t>
        </is>
      </c>
      <c r="B54" s="9" t="inlineStr">
        <is>
          <t>E5 Invoice &amp; OCR</t>
        </is>
      </c>
      <c r="C54" s="9" t="inlineStr">
        <is>
          <t>Multi-format extraction</t>
        </is>
      </c>
      <c r="D54" s="9" t="inlineStr">
        <is>
          <t>Text, PDF, scanned PDF, image, Excel and CSV all produce a line list.</t>
        </is>
      </c>
      <c r="E54" s="8" t="inlineStr">
        <is>
          <t>Must</t>
        </is>
      </c>
      <c r="F54" s="8" t="n">
        <v>8</v>
      </c>
      <c r="G54" s="8" t="inlineStr">
        <is>
          <t>S0</t>
        </is>
      </c>
      <c r="H54" s="8" t="inlineStr">
        <is>
          <t>Done</t>
        </is>
      </c>
      <c r="I54" s="8" t="inlineStr"/>
      <c r="J54" s="9" t="inlineStr"/>
    </row>
    <row r="55" ht="30" customHeight="1">
      <c r="A55" s="8" t="inlineStr">
        <is>
          <t>F2</t>
        </is>
      </c>
      <c r="B55" s="9" t="inlineStr">
        <is>
          <t>E5 Invoice &amp; OCR</t>
        </is>
      </c>
      <c r="C55" s="9" t="inlineStr">
        <is>
          <t>Extraction cascade</t>
        </is>
      </c>
      <c r="D55" s="9" t="inlineStr">
        <is>
          <t>Tables, then text layer, then OCR per page. Only pages without text go to OCR.</t>
        </is>
      </c>
      <c r="E55" s="8" t="inlineStr">
        <is>
          <t>Must</t>
        </is>
      </c>
      <c r="F55" s="8" t="n">
        <v>5</v>
      </c>
      <c r="G55" s="8" t="inlineStr">
        <is>
          <t>S0</t>
        </is>
      </c>
      <c r="H55" s="8" t="inlineStr">
        <is>
          <t>Done</t>
        </is>
      </c>
      <c r="I55" s="8" t="inlineStr">
        <is>
          <t>F1</t>
        </is>
      </c>
      <c r="J55" s="9" t="inlineStr"/>
    </row>
    <row r="56" ht="30" customHeight="1">
      <c r="A56" s="8" t="inlineStr">
        <is>
          <t>F6</t>
        </is>
      </c>
      <c r="B56" s="9" t="inlineStr">
        <is>
          <t>E5 Invoice &amp; OCR</t>
        </is>
      </c>
      <c r="C56" s="9" t="inlineStr">
        <is>
          <t>Field extraction</t>
        </is>
      </c>
      <c r="D56" s="9" t="inlineStr">
        <is>
          <t>Description, quantity, UoM, rate, HSN and line-level vendor. Header supplier ignored.</t>
        </is>
      </c>
      <c r="E56" s="8" t="inlineStr">
        <is>
          <t>Must</t>
        </is>
      </c>
      <c r="F56" s="8" t="n">
        <v>5</v>
      </c>
      <c r="G56" s="8" t="inlineStr">
        <is>
          <t>S0</t>
        </is>
      </c>
      <c r="H56" s="8" t="inlineStr">
        <is>
          <t>Done</t>
        </is>
      </c>
      <c r="I56" s="8" t="inlineStr">
        <is>
          <t>F1</t>
        </is>
      </c>
      <c r="J56" s="9" t="inlineStr">
        <is>
          <t>Your rule: line vendor only</t>
        </is>
      </c>
    </row>
    <row r="57" ht="30" customHeight="1">
      <c r="A57" s="8" t="inlineStr">
        <is>
          <t>F7</t>
        </is>
      </c>
      <c r="B57" s="9" t="inlineStr">
        <is>
          <t>E5 Invoice &amp; OCR</t>
        </is>
      </c>
      <c r="C57" s="9" t="inlineStr">
        <is>
          <t>Independent batch handling</t>
        </is>
      </c>
      <c r="D57" s="9" t="inlineStr">
        <is>
          <t>A 20-line invoice yields 20 proposals; one failure never blocks the rest.</t>
        </is>
      </c>
      <c r="E57" s="8" t="inlineStr">
        <is>
          <t>Must</t>
        </is>
      </c>
      <c r="F57" s="8" t="n">
        <v>3</v>
      </c>
      <c r="G57" s="8" t="inlineStr">
        <is>
          <t>S0</t>
        </is>
      </c>
      <c r="H57" s="8" t="inlineStr">
        <is>
          <t>Done</t>
        </is>
      </c>
      <c r="I57" s="8" t="inlineStr">
        <is>
          <t>F1</t>
        </is>
      </c>
      <c r="J57" s="9" t="inlineStr"/>
    </row>
    <row r="58" ht="30" customHeight="1">
      <c r="A58" s="8" t="inlineStr">
        <is>
          <t>G1</t>
        </is>
      </c>
      <c r="B58" s="9" t="inlineStr">
        <is>
          <t>E6 Master &amp; Restructure</t>
        </is>
      </c>
      <c r="C58" s="9" t="inlineStr">
        <is>
          <t>Item master screen</t>
        </is>
      </c>
      <c r="D58" s="9" t="inlineStr">
        <is>
          <t>Search, filter and edit, attributed and logged.</t>
        </is>
      </c>
      <c r="E58" s="8" t="inlineStr">
        <is>
          <t>Must</t>
        </is>
      </c>
      <c r="F58" s="8" t="n">
        <v>5</v>
      </c>
      <c r="G58" s="8" t="inlineStr">
        <is>
          <t>S0</t>
        </is>
      </c>
      <c r="H58" s="8" t="inlineStr">
        <is>
          <t>Done</t>
        </is>
      </c>
      <c r="I58" s="8" t="inlineStr"/>
      <c r="J58" s="9" t="inlineStr"/>
    </row>
    <row r="59" ht="30" customHeight="1">
      <c r="A59" s="8" t="inlineStr">
        <is>
          <t>G2</t>
        </is>
      </c>
      <c r="B59" s="9" t="inlineStr">
        <is>
          <t>E6 Master &amp; Restructure</t>
        </is>
      </c>
      <c r="C59" s="9" t="inlineStr">
        <is>
          <t>Field edits never touch the code</t>
        </is>
      </c>
      <c r="D59" s="9" t="inlineStr">
        <is>
          <t>Enforced in the API, not only the interface.</t>
        </is>
      </c>
      <c r="E59" s="8" t="inlineStr">
        <is>
          <t>Must</t>
        </is>
      </c>
      <c r="F59" s="8" t="n">
        <v>2</v>
      </c>
      <c r="G59" s="8" t="inlineStr">
        <is>
          <t>S0</t>
        </is>
      </c>
      <c r="H59" s="8" t="inlineStr">
        <is>
          <t>Done</t>
        </is>
      </c>
      <c r="I59" s="8" t="inlineStr">
        <is>
          <t>G1</t>
        </is>
      </c>
      <c r="J59" s="9" t="inlineStr"/>
    </row>
    <row r="60" ht="30" customHeight="1">
      <c r="A60" s="8" t="inlineStr">
        <is>
          <t>G4</t>
        </is>
      </c>
      <c r="B60" s="9" t="inlineStr">
        <is>
          <t>E6 Master &amp; Restructure</t>
        </is>
      </c>
      <c r="C60" s="9" t="inlineStr">
        <is>
          <t>Code mapping ledger</t>
        </is>
      </c>
      <c r="D60" s="9" t="inlineStr">
        <is>
          <t>Every old-to-new pair recorded and exported.</t>
        </is>
      </c>
      <c r="E60" s="8" t="inlineStr">
        <is>
          <t>Must</t>
        </is>
      </c>
      <c r="F60" s="8" t="n">
        <v>3</v>
      </c>
      <c r="G60" s="8" t="inlineStr">
        <is>
          <t>S0</t>
        </is>
      </c>
      <c r="H60" s="8" t="inlineStr">
        <is>
          <t>Done</t>
        </is>
      </c>
      <c r="I60" s="8" t="inlineStr">
        <is>
          <t>G3</t>
        </is>
      </c>
      <c r="J60" s="9" t="inlineStr"/>
    </row>
    <row r="61" ht="30" customHeight="1">
      <c r="A61" s="8" t="inlineStr">
        <is>
          <t>H1</t>
        </is>
      </c>
      <c r="B61" s="9" t="inlineStr">
        <is>
          <t>E7 ERPNext</t>
        </is>
      </c>
      <c r="C61" s="9" t="inlineStr">
        <is>
          <t>REST client</t>
        </is>
      </c>
      <c r="D61" s="9" t="inlineStr">
        <is>
          <t>Login, retry and error surfacing against UAT and PROD.</t>
        </is>
      </c>
      <c r="E61" s="8" t="inlineStr">
        <is>
          <t>Must</t>
        </is>
      </c>
      <c r="F61" s="8" t="n">
        <v>3</v>
      </c>
      <c r="G61" s="8" t="inlineStr">
        <is>
          <t>S0</t>
        </is>
      </c>
      <c r="H61" s="8" t="inlineStr">
        <is>
          <t>Done</t>
        </is>
      </c>
      <c r="I61" s="8" t="inlineStr"/>
      <c r="J61" s="9" t="inlineStr"/>
    </row>
    <row r="62" ht="30" customHeight="1">
      <c r="A62" s="8" t="inlineStr">
        <is>
          <t>H2</t>
        </is>
      </c>
      <c r="B62" s="9" t="inlineStr">
        <is>
          <t>E7 ERPNext</t>
        </is>
      </c>
      <c r="C62" s="9" t="inlineStr">
        <is>
          <t>Pull live item list</t>
        </is>
      </c>
      <c r="D62" s="9" t="inlineStr">
        <is>
          <t>One click refreshes the reserved-code set from live ERPNext.</t>
        </is>
      </c>
      <c r="E62" s="8" t="inlineStr">
        <is>
          <t>Must</t>
        </is>
      </c>
      <c r="F62" s="8" t="n">
        <v>3</v>
      </c>
      <c r="G62" s="8" t="inlineStr">
        <is>
          <t>S0</t>
        </is>
      </c>
      <c r="H62" s="8" t="inlineStr">
        <is>
          <t>Done</t>
        </is>
      </c>
      <c r="I62" s="8" t="inlineStr">
        <is>
          <t>H1</t>
        </is>
      </c>
      <c r="J62" s="9" t="inlineStr"/>
    </row>
    <row r="63" ht="30" customHeight="1">
      <c r="A63" s="8" t="inlineStr">
        <is>
          <t>H3</t>
        </is>
      </c>
      <c r="B63" s="9" t="inlineStr">
        <is>
          <t>E7 ERPNext</t>
        </is>
      </c>
      <c r="C63" s="9" t="inlineStr">
        <is>
          <t>Dry-run payload preview</t>
        </is>
      </c>
      <c r="D63" s="9" t="inlineStr">
        <is>
          <t>Shows the exact JSON that would be posted, writes nothing.</t>
        </is>
      </c>
      <c r="E63" s="8" t="inlineStr">
        <is>
          <t>Must</t>
        </is>
      </c>
      <c r="F63" s="8" t="n">
        <v>3</v>
      </c>
      <c r="G63" s="8" t="inlineStr">
        <is>
          <t>S0</t>
        </is>
      </c>
      <c r="H63" s="8" t="inlineStr">
        <is>
          <t>Done</t>
        </is>
      </c>
      <c r="I63" s="8" t="inlineStr">
        <is>
          <t>H1</t>
        </is>
      </c>
      <c r="J63" s="9" t="inlineStr"/>
    </row>
    <row r="64" ht="30" customHeight="1">
      <c r="A64" s="10" t="inlineStr">
        <is>
          <t>D5</t>
        </is>
      </c>
      <c r="B64" s="11" t="inlineStr">
        <is>
          <t>E4 Matching &amp; LLM</t>
        </is>
      </c>
      <c r="C64" s="11" t="inlineStr">
        <is>
          <t>Choose the LLM provider and wire the key</t>
        </is>
      </c>
      <c r="D64" s="11" t="inlineStr">
        <is>
          <t>A provider is chosen, the key stored outside the repo, per-call cost logged.</t>
        </is>
      </c>
      <c r="E64" s="10" t="inlineStr">
        <is>
          <t>Must</t>
        </is>
      </c>
      <c r="F64" s="10" t="n">
        <v>3</v>
      </c>
      <c r="G64" s="10" t="inlineStr">
        <is>
          <t>NEEDS INPUT</t>
        </is>
      </c>
      <c r="H64" s="10" t="inlineStr">
        <is>
          <t>Blocked</t>
        </is>
      </c>
      <c r="I64" s="10" t="inlineStr">
        <is>
          <t>D4</t>
        </is>
      </c>
      <c r="J64" s="11" t="inlineStr">
        <is>
          <t>Needs: an API key</t>
        </is>
      </c>
    </row>
    <row r="65" ht="30" customHeight="1">
      <c r="A65" s="10" t="inlineStr">
        <is>
          <t>D6</t>
        </is>
      </c>
      <c r="B65" s="11" t="inlineStr">
        <is>
          <t>E4 Matching &amp; LLM</t>
        </is>
      </c>
      <c r="C65" s="11" t="inlineStr">
        <is>
          <t>Calibrate the 60% threshold</t>
        </is>
      </c>
      <c r="D65" s="11" t="inlineStr">
        <is>
          <t>200 real invoice lines run; false accepts and false asks measured; the chosen number recorded.</t>
        </is>
      </c>
      <c r="E65" s="10" t="inlineStr">
        <is>
          <t>Must</t>
        </is>
      </c>
      <c r="F65" s="10" t="n">
        <v>8</v>
      </c>
      <c r="G65" s="10" t="inlineStr">
        <is>
          <t>NEEDS INPUT</t>
        </is>
      </c>
      <c r="H65" s="10" t="inlineStr">
        <is>
          <t>Blocked</t>
        </is>
      </c>
      <c r="I65" s="10" t="inlineStr">
        <is>
          <t>D5</t>
        </is>
      </c>
      <c r="J65" s="11" t="inlineStr">
        <is>
          <t>Needs: 200 real lines + a key</t>
        </is>
      </c>
    </row>
    <row r="66" ht="30" customHeight="1">
      <c r="A66" s="10" t="inlineStr">
        <is>
          <t>F3</t>
        </is>
      </c>
      <c r="B66" s="11" t="inlineStr">
        <is>
          <t>E5 Invoice &amp; OCR</t>
        </is>
      </c>
      <c r="C66" s="11" t="inlineStr">
        <is>
          <t>Install Tesseract on the host</t>
        </is>
      </c>
      <c r="D66" s="11" t="inlineStr">
        <is>
          <t>OCR verified working on the machine that will host the app.</t>
        </is>
      </c>
      <c r="E66" s="10" t="inlineStr">
        <is>
          <t>Must</t>
        </is>
      </c>
      <c r="F66" s="10" t="n">
        <v>2</v>
      </c>
      <c r="G66" s="10" t="inlineStr">
        <is>
          <t>NEEDS INPUT</t>
        </is>
      </c>
      <c r="H66" s="10" t="inlineStr">
        <is>
          <t>Blocked</t>
        </is>
      </c>
      <c r="I66" s="10" t="inlineStr">
        <is>
          <t>J7</t>
        </is>
      </c>
      <c r="J66" s="11" t="inlineStr">
        <is>
          <t>Needs: admin rights on the host</t>
        </is>
      </c>
    </row>
    <row r="67" ht="30" customHeight="1">
      <c r="A67" s="10" t="inlineStr">
        <is>
          <t>F4</t>
        </is>
      </c>
      <c r="B67" s="11" t="inlineStr">
        <is>
          <t>E5 Invoice &amp; OCR</t>
        </is>
      </c>
      <c r="C67" s="11" t="inlineStr">
        <is>
          <t>OCR accuracy on real invoices</t>
        </is>
      </c>
      <c r="D67" s="11" t="inlineStr">
        <is>
          <t>Ten real scanned invoices processed; per-field accuracy recorded; failures listed.</t>
        </is>
      </c>
      <c r="E67" s="10" t="inlineStr">
        <is>
          <t>Must</t>
        </is>
      </c>
      <c r="F67" s="10" t="n">
        <v>5</v>
      </c>
      <c r="G67" s="10" t="inlineStr">
        <is>
          <t>NEEDS INPUT</t>
        </is>
      </c>
      <c r="H67" s="10" t="inlineStr">
        <is>
          <t>Blocked</t>
        </is>
      </c>
      <c r="I67" s="10" t="inlineStr">
        <is>
          <t>F3</t>
        </is>
      </c>
      <c r="J67" s="11" t="inlineStr">
        <is>
          <t>Needs: 10 real scanned invoices</t>
        </is>
      </c>
    </row>
    <row r="68" ht="30" customHeight="1">
      <c r="A68" s="10" t="inlineStr">
        <is>
          <t>F5</t>
        </is>
      </c>
      <c r="B68" s="11" t="inlineStr">
        <is>
          <t>E5 Invoice &amp; OCR</t>
        </is>
      </c>
      <c r="C68" s="11" t="inlineStr">
        <is>
          <t>Line filter tuning</t>
        </is>
      </c>
      <c r="D68" s="11" t="inlineStr">
        <is>
          <t>GST rows, totals, bank details and signatures excluded on the real sample.</t>
        </is>
      </c>
      <c r="E68" s="10" t="inlineStr">
        <is>
          <t>Must</t>
        </is>
      </c>
      <c r="F68" s="10" t="n">
        <v>3</v>
      </c>
      <c r="G68" s="10" t="inlineStr">
        <is>
          <t>NEEDS INPUT</t>
        </is>
      </c>
      <c r="H68" s="10" t="inlineStr">
        <is>
          <t>Blocked</t>
        </is>
      </c>
      <c r="I68" s="10" t="inlineStr">
        <is>
          <t>F4</t>
        </is>
      </c>
      <c r="J68" s="11" t="inlineStr">
        <is>
          <t>Needs: the same invoices</t>
        </is>
      </c>
    </row>
    <row r="69" ht="30" customHeight="1">
      <c r="A69" s="10" t="inlineStr">
        <is>
          <t>H4</t>
        </is>
      </c>
      <c r="B69" s="11" t="inlineStr">
        <is>
          <t>E7 ERPNext</t>
        </is>
      </c>
      <c r="C69" s="11" t="inlineStr">
        <is>
          <t>Live create on UAT</t>
        </is>
      </c>
      <c r="D69" s="11" t="inlineStr">
        <is>
          <t>Submitting creates the Item in UAT with our code as item_code.</t>
        </is>
      </c>
      <c r="E69" s="10" t="inlineStr">
        <is>
          <t>Must</t>
        </is>
      </c>
      <c r="F69" s="10" t="n">
        <v>5</v>
      </c>
      <c r="G69" s="10" t="inlineStr">
        <is>
          <t>NEEDS INPUT</t>
        </is>
      </c>
      <c r="H69" s="10" t="inlineStr">
        <is>
          <t>Blocked</t>
        </is>
      </c>
      <c r="I69" s="10" t="inlineStr">
        <is>
          <t>H3</t>
        </is>
      </c>
      <c r="J69" s="11" t="inlineStr">
        <is>
          <t>Needs: your go-ahead to write</t>
        </is>
      </c>
    </row>
    <row r="70" ht="30" customHeight="1">
      <c r="A70" s="10" t="inlineStr">
        <is>
          <t>H5</t>
        </is>
      </c>
      <c r="B70" s="11" t="inlineStr">
        <is>
          <t>E7 ERPNext</t>
        </is>
      </c>
      <c r="C70" s="11" t="inlineStr">
        <is>
          <t>Per-creator ERP credentials</t>
        </is>
      </c>
      <c r="D70" s="11" t="inlineStr">
        <is>
          <t>Each creator authenticates to ERPNext as themselves.</t>
        </is>
      </c>
      <c r="E70" s="10" t="inlineStr">
        <is>
          <t>Must</t>
        </is>
      </c>
      <c r="F70" s="10" t="n">
        <v>5</v>
      </c>
      <c r="G70" s="10" t="inlineStr">
        <is>
          <t>NEEDS INPUT</t>
        </is>
      </c>
      <c r="H70" s="10" t="inlineStr">
        <is>
          <t>Blocked</t>
        </is>
      </c>
      <c r="I70" s="10" t="inlineStr">
        <is>
          <t>A5</t>
        </is>
      </c>
      <c r="J70" s="11" t="inlineStr">
        <is>
          <t>Needs: ERP logins per person</t>
        </is>
      </c>
    </row>
    <row r="71" ht="30" customHeight="1">
      <c r="A71" s="10" t="inlineStr">
        <is>
          <t>H6</t>
        </is>
      </c>
      <c r="B71" s="11" t="inlineStr">
        <is>
          <t>E7 ERPNext</t>
        </is>
      </c>
      <c r="C71" s="11" t="inlineStr">
        <is>
          <t>Rename cascade</t>
        </is>
      </c>
      <c r="D71" s="11" t="inlineStr">
        <is>
          <t>When an unfrozen item re-codes, the ERPNext rename is issued and confirmed.</t>
        </is>
      </c>
      <c r="E71" s="10" t="inlineStr">
        <is>
          <t>Must</t>
        </is>
      </c>
      <c r="F71" s="10" t="n">
        <v>5</v>
      </c>
      <c r="G71" s="10" t="inlineStr">
        <is>
          <t>NEEDS INPUT</t>
        </is>
      </c>
      <c r="H71" s="10" t="inlineStr">
        <is>
          <t>Blocked</t>
        </is>
      </c>
      <c r="I71" s="10" t="inlineStr">
        <is>
          <t>H4</t>
        </is>
      </c>
      <c r="J71" s="11" t="inlineStr">
        <is>
          <t>Needs: UAT writes first</t>
        </is>
      </c>
    </row>
    <row r="72" ht="30" customHeight="1">
      <c r="A72" s="10" t="inlineStr">
        <is>
          <t>H7</t>
        </is>
      </c>
      <c r="B72" s="11" t="inlineStr">
        <is>
          <t>E7 ERPNext</t>
        </is>
      </c>
      <c r="C72" s="11" t="inlineStr">
        <is>
          <t>Drift reconciliation report</t>
        </is>
      </c>
      <c r="D72" s="11" t="inlineStr">
        <is>
          <t>Lists app-only, ERP-only and disagreeing fields.</t>
        </is>
      </c>
      <c r="E72" s="10" t="inlineStr">
        <is>
          <t>Should</t>
        </is>
      </c>
      <c r="F72" s="10" t="n">
        <v>5</v>
      </c>
      <c r="G72" s="10" t="inlineStr">
        <is>
          <t>NEEDS INPUT</t>
        </is>
      </c>
      <c r="H72" s="10" t="inlineStr">
        <is>
          <t>Blocked</t>
        </is>
      </c>
      <c r="I72" s="10" t="inlineStr">
        <is>
          <t>H2</t>
        </is>
      </c>
      <c r="J72" s="11" t="inlineStr">
        <is>
          <t>Needs: UAT writes first</t>
        </is>
      </c>
    </row>
    <row r="73" ht="30" customHeight="1">
      <c r="A73" s="10" t="inlineStr">
        <is>
          <t>H8</t>
        </is>
      </c>
      <c r="B73" s="11" t="inlineStr">
        <is>
          <t>E7 ERPNext</t>
        </is>
      </c>
      <c r="C73" s="11" t="inlineStr">
        <is>
          <t>PROD go-live</t>
        </is>
      </c>
      <c r="D73" s="11" t="inlineStr">
        <is>
          <t>Writes enabled on PROD after a clean UAT week. Rollback path written down.</t>
        </is>
      </c>
      <c r="E73" s="10" t="inlineStr">
        <is>
          <t>Must</t>
        </is>
      </c>
      <c r="F73" s="10" t="n">
        <v>3</v>
      </c>
      <c r="G73" s="10" t="inlineStr">
        <is>
          <t>NEEDS INPUT</t>
        </is>
      </c>
      <c r="H73" s="10" t="inlineStr">
        <is>
          <t>Blocked</t>
        </is>
      </c>
      <c r="I73" s="10" t="inlineStr">
        <is>
          <t>H4;H5</t>
        </is>
      </c>
      <c r="J73" s="11" t="inlineStr">
        <is>
          <t>Needs: your sign-off</t>
        </is>
      </c>
    </row>
    <row r="74" ht="30" customHeight="1">
      <c r="A74" s="10" t="inlineStr">
        <is>
          <t>I1</t>
        </is>
      </c>
      <c r="B74" s="11" t="inlineStr">
        <is>
          <t>E8 Data Quality</t>
        </is>
      </c>
      <c r="C74" s="11" t="inlineStr">
        <is>
          <t>Resolve 10 unmatched items</t>
        </is>
      </c>
      <c r="D74" s="11" t="inlineStr">
        <is>
          <t>The 10 seeded items with no matching group are assigned or corrected.</t>
        </is>
      </c>
      <c r="E74" s="10" t="inlineStr">
        <is>
          <t>Must</t>
        </is>
      </c>
      <c r="F74" s="10" t="n">
        <v>2</v>
      </c>
      <c r="G74" s="10" t="inlineStr">
        <is>
          <t>NEEDS INPUT</t>
        </is>
      </c>
      <c r="H74" s="10" t="inlineStr">
        <is>
          <t>Blocked</t>
        </is>
      </c>
      <c r="I74" s="10" t="inlineStr"/>
      <c r="J74" s="11" t="inlineStr">
        <is>
          <t>Needs: 10 judgement calls from you</t>
        </is>
      </c>
    </row>
    <row r="75" ht="30" customHeight="1">
      <c r="A75" s="10" t="inlineStr">
        <is>
          <t>I2</t>
        </is>
      </c>
      <c r="B75" s="11" t="inlineStr">
        <is>
          <t>E8 Data Quality</t>
        </is>
      </c>
      <c r="C75" s="11" t="inlineStr">
        <is>
          <t>Triage 175 junk ERP codes</t>
        </is>
      </c>
      <c r="D75" s="11" t="inlineStr">
        <is>
          <t>LCO-1, IBC TANKS, Iron and bare numbers each disabled or re-coded.</t>
        </is>
      </c>
      <c r="E75" s="10" t="inlineStr">
        <is>
          <t>Should</t>
        </is>
      </c>
      <c r="F75" s="10" t="n">
        <v>5</v>
      </c>
      <c r="G75" s="10" t="inlineStr">
        <is>
          <t>NEEDS INPUT</t>
        </is>
      </c>
      <c r="H75" s="10" t="inlineStr">
        <is>
          <t>Blocked</t>
        </is>
      </c>
      <c r="I75" s="10" t="inlineStr">
        <is>
          <t>H4</t>
        </is>
      </c>
      <c r="J75" s="11" t="inlineStr">
        <is>
          <t>Needs: ERP write access</t>
        </is>
      </c>
    </row>
    <row r="76" ht="30" customHeight="1">
      <c r="A76" s="10" t="inlineStr">
        <is>
          <t>I3</t>
        </is>
      </c>
      <c r="B76" s="11" t="inlineStr">
        <is>
          <t>E8 Data Quality</t>
        </is>
      </c>
      <c r="C76" s="11" t="inlineStr">
        <is>
          <t>Policy for 614 non-grammar codes</t>
        </is>
      </c>
      <c r="D76" s="11" t="inlineStr">
        <is>
          <t>Leave frozen, or plan a one-time re-code. Written either way.</t>
        </is>
      </c>
      <c r="E76" s="10" t="inlineStr">
        <is>
          <t>Must</t>
        </is>
      </c>
      <c r="F76" s="10" t="n">
        <v>3</v>
      </c>
      <c r="G76" s="10" t="inlineStr">
        <is>
          <t>NEEDS INPUT</t>
        </is>
      </c>
      <c r="H76" s="10" t="inlineStr">
        <is>
          <t>Blocked</t>
        </is>
      </c>
      <c r="I76" s="10" t="inlineStr"/>
      <c r="J76" s="11" t="inlineStr">
        <is>
          <t>Needs: a business decision</t>
        </is>
      </c>
    </row>
    <row r="77" ht="30" customHeight="1">
      <c r="A77" s="10" t="inlineStr">
        <is>
          <t>I4</t>
        </is>
      </c>
      <c r="B77" s="11" t="inlineStr">
        <is>
          <t>E8 Data Quality</t>
        </is>
      </c>
      <c r="C77" s="11" t="inlineStr">
        <is>
          <t>Group de-duplication campaign</t>
        </is>
      </c>
      <c r="D77" s="11" t="inlineStr">
        <is>
          <t>889 groups reviewed, duplicates merged, an agreed target reached.</t>
        </is>
      </c>
      <c r="E77" s="10" t="inlineStr">
        <is>
          <t>Must</t>
        </is>
      </c>
      <c r="F77" s="10" t="n">
        <v>13</v>
      </c>
      <c r="G77" s="10" t="inlineStr">
        <is>
          <t>NEEDS INPUT</t>
        </is>
      </c>
      <c r="H77" s="10" t="inlineStr">
        <is>
          <t>Blocked</t>
        </is>
      </c>
      <c r="I77" s="10" t="inlineStr">
        <is>
          <t>G3</t>
        </is>
      </c>
      <c r="J77" s="11" t="inlineStr">
        <is>
          <t>Needs: your judgement on 889 groups</t>
        </is>
      </c>
    </row>
    <row r="78" ht="30" customHeight="1">
      <c r="A78" s="10" t="inlineStr">
        <is>
          <t>I5</t>
        </is>
      </c>
      <c r="B78" s="11" t="inlineStr">
        <is>
          <t>E8 Data Quality</t>
        </is>
      </c>
      <c r="C78" s="11" t="inlineStr">
        <is>
          <t>Spec value de-duplication</t>
        </is>
      </c>
      <c r="D78" s="11" t="inlineStr">
        <is>
          <t>Within-group duplicate values merged, aliases preserved.</t>
        </is>
      </c>
      <c r="E78" s="10" t="inlineStr">
        <is>
          <t>Should</t>
        </is>
      </c>
      <c r="F78" s="10" t="n">
        <v>5</v>
      </c>
      <c r="G78" s="10" t="inlineStr">
        <is>
          <t>NEEDS INPUT</t>
        </is>
      </c>
      <c r="H78" s="10" t="inlineStr">
        <is>
          <t>Blocked</t>
        </is>
      </c>
      <c r="I78" s="10" t="inlineStr">
        <is>
          <t>I4</t>
        </is>
      </c>
      <c r="J78" s="11" t="inlineStr">
        <is>
          <t>Needs: I4 first</t>
        </is>
      </c>
    </row>
    <row r="79" ht="30" customHeight="1">
      <c r="A79" s="10" t="inlineStr">
        <is>
          <t>I6</t>
        </is>
      </c>
      <c r="B79" s="11" t="inlineStr">
        <is>
          <t>E8 Data Quality</t>
        </is>
      </c>
      <c r="C79" s="11" t="inlineStr">
        <is>
          <t>HSN backfill</t>
        </is>
      </c>
      <c r="D79" s="11" t="inlineStr">
        <is>
          <t>Blank and 4-digit HSN filled where a correct 8-digit code exists.</t>
        </is>
      </c>
      <c r="E79" s="10" t="inlineStr">
        <is>
          <t>Should</t>
        </is>
      </c>
      <c r="F79" s="10" t="n">
        <v>5</v>
      </c>
      <c r="G79" s="10" t="inlineStr">
        <is>
          <t>NEEDS INPUT</t>
        </is>
      </c>
      <c r="H79" s="10" t="inlineStr">
        <is>
          <t>Blocked</t>
        </is>
      </c>
      <c r="I79" s="10" t="inlineStr"/>
      <c r="J79" s="11" t="inlineStr">
        <is>
          <t>Needs: CA verification</t>
        </is>
      </c>
    </row>
    <row r="80" ht="30" customHeight="1">
      <c r="A80" s="10" t="inlineStr">
        <is>
          <t>J1</t>
        </is>
      </c>
      <c r="B80" s="11" t="inlineStr">
        <is>
          <t>E9 Deploy &amp; Handover</t>
        </is>
      </c>
      <c r="C80" s="11" t="inlineStr">
        <is>
          <t>Nominate the host machine</t>
        </is>
      </c>
      <c r="D80" s="11" t="inlineStr">
        <is>
          <t>An always-on machine, sleep disabled, fixed hostname.</t>
        </is>
      </c>
      <c r="E80" s="10" t="inlineStr">
        <is>
          <t>Must</t>
        </is>
      </c>
      <c r="F80" s="10" t="n">
        <v>2</v>
      </c>
      <c r="G80" s="10" t="inlineStr">
        <is>
          <t>NEEDS INPUT</t>
        </is>
      </c>
      <c r="H80" s="10" t="inlineStr">
        <is>
          <t>Blocked</t>
        </is>
      </c>
      <c r="I80" s="10" t="inlineStr"/>
      <c r="J80" s="11" t="inlineStr">
        <is>
          <t>Needs: which machine</t>
        </is>
      </c>
    </row>
    <row r="81" ht="30" customHeight="1">
      <c r="A81" s="10" t="inlineStr">
        <is>
          <t>J4</t>
        </is>
      </c>
      <c r="B81" s="11" t="inlineStr">
        <is>
          <t>E9 Deploy &amp; Handover</t>
        </is>
      </c>
      <c r="C81" s="11" t="inlineStr">
        <is>
          <t>Operator SOP and training</t>
        </is>
      </c>
      <c r="D81" s="11" t="inlineStr">
        <is>
          <t>One-page sheet plus a session with the creators.</t>
        </is>
      </c>
      <c r="E81" s="10" t="inlineStr">
        <is>
          <t>Must</t>
        </is>
      </c>
      <c r="F81" s="10" t="n">
        <v>3</v>
      </c>
      <c r="G81" s="10" t="inlineStr">
        <is>
          <t>NEEDS INPUT</t>
        </is>
      </c>
      <c r="H81" s="10" t="inlineStr">
        <is>
          <t>Blocked</t>
        </is>
      </c>
      <c r="I81" s="10" t="inlineStr">
        <is>
          <t>J7</t>
        </is>
      </c>
      <c r="J81" s="11" t="inlineStr">
        <is>
          <t>Text drafted in PDR §8</t>
        </is>
      </c>
    </row>
    <row r="82" ht="30" customHeight="1">
      <c r="A82" s="10" t="inlineStr">
        <is>
          <t>J5</t>
        </is>
      </c>
      <c r="B82" s="11" t="inlineStr">
        <is>
          <t>E9 Deploy &amp; Handover</t>
        </is>
      </c>
      <c r="C82" s="11" t="inlineStr">
        <is>
          <t>Support runbook</t>
        </is>
      </c>
      <c r="D82" s="11" t="inlineStr">
        <is>
          <t>Restart, restore, add a user, rotate a key, who to call.</t>
        </is>
      </c>
      <c r="E82" s="10" t="inlineStr">
        <is>
          <t>Must</t>
        </is>
      </c>
      <c r="F82" s="10" t="n">
        <v>3</v>
      </c>
      <c r="G82" s="10" t="inlineStr">
        <is>
          <t>NEEDS INPUT</t>
        </is>
      </c>
      <c r="H82" s="10" t="inlineStr">
        <is>
          <t>Blocked</t>
        </is>
      </c>
      <c r="I82" s="10" t="inlineStr">
        <is>
          <t>J2</t>
        </is>
      </c>
      <c r="J82" s="11" t="inlineStr"/>
    </row>
    <row r="83" ht="30" customHeight="1">
      <c r="A83" s="10" t="inlineStr">
        <is>
          <t>J6</t>
        </is>
      </c>
      <c r="B83" s="11" t="inlineStr">
        <is>
          <t>E9 Deploy &amp; Handover</t>
        </is>
      </c>
      <c r="C83" s="11" t="inlineStr">
        <is>
          <t>Two-week post-launch watch</t>
        </is>
      </c>
      <c r="D83" s="11" t="inlineStr">
        <is>
          <t>Daily check of codes issued, questions raised and mismatches, with a written close-out.</t>
        </is>
      </c>
      <c r="E83" s="10" t="inlineStr">
        <is>
          <t>Must</t>
        </is>
      </c>
      <c r="F83" s="10" t="n">
        <v>5</v>
      </c>
      <c r="G83" s="10" t="inlineStr">
        <is>
          <t>NEEDS INPUT</t>
        </is>
      </c>
      <c r="H83" s="10" t="inlineStr">
        <is>
          <t>Blocked</t>
        </is>
      </c>
      <c r="I83" s="10" t="inlineStr">
        <is>
          <t>H8</t>
        </is>
      </c>
      <c r="J83" s="11" t="inlineStr">
        <is>
          <t>Needs: two weeks to pass</t>
        </is>
      </c>
    </row>
    <row r="84" ht="30" customHeight="1">
      <c r="A84" s="12" t="inlineStr">
        <is>
          <t>G6</t>
        </is>
      </c>
      <c r="B84" s="13" t="inlineStr">
        <is>
          <t>E6 Master &amp; Restructure</t>
        </is>
      </c>
      <c r="C84" s="13" t="inlineStr">
        <is>
          <t>Bulk operations</t>
        </is>
      </c>
      <c r="D84" s="13" t="inlineStr">
        <is>
          <t>Select many items and move or edit them in one previewed action.</t>
        </is>
      </c>
      <c r="E84" s="12" t="inlineStr">
        <is>
          <t>Could</t>
        </is>
      </c>
      <c r="F84" s="12" t="n">
        <v>5</v>
      </c>
      <c r="G84" s="12" t="inlineStr">
        <is>
          <t>BACKLOG</t>
        </is>
      </c>
      <c r="H84" s="12" t="inlineStr">
        <is>
          <t>Not started</t>
        </is>
      </c>
      <c r="I84" s="12" t="inlineStr">
        <is>
          <t>G3</t>
        </is>
      </c>
      <c r="J84" s="13" t="inlineStr">
        <is>
          <t>Deferred, not needed for go-live</t>
        </is>
      </c>
    </row>
    <row r="85" ht="30" customHeight="1">
      <c r="A85" s="12" t="inlineStr">
        <is>
          <t>C9</t>
        </is>
      </c>
      <c r="B85" s="13" t="inlineStr">
        <is>
          <t>E3 Code Engine</t>
        </is>
      </c>
      <c r="C85" s="13" t="inlineStr">
        <is>
          <t>Vacancy claim override</t>
        </is>
      </c>
      <c r="D85" s="13" t="inlineStr">
        <is>
          <t>An admin can release or reassign a parked number, with a reason recorded.</t>
        </is>
      </c>
      <c r="E85" s="12" t="inlineStr">
        <is>
          <t>Could</t>
        </is>
      </c>
      <c r="F85" s="12" t="n">
        <v>3</v>
      </c>
      <c r="G85" s="12" t="inlineStr">
        <is>
          <t>BACKLOG</t>
        </is>
      </c>
      <c r="H85" s="12" t="inlineStr">
        <is>
          <t>Not started</t>
        </is>
      </c>
      <c r="I85" s="12" t="inlineStr">
        <is>
          <t>C4</t>
        </is>
      </c>
      <c r="J85" s="13" t="inlineStr">
        <is>
          <t>Deferred</t>
        </is>
      </c>
    </row>
    <row r="86">
      <c r="A86" s="14" t="n"/>
      <c r="B86" s="14" t="n"/>
      <c r="C86" s="15" t="inlineStr">
        <is>
          <t>TOTAL</t>
        </is>
      </c>
      <c r="D86" s="14" t="n"/>
      <c r="E86" s="14" t="n"/>
      <c r="F86" s="15">
        <f>SUM(F5:F85)</f>
        <v/>
      </c>
      <c r="G86" s="14" t="n"/>
      <c r="H86" s="14" t="n"/>
      <c r="I86" s="14" t="n"/>
      <c r="J86" s="14" t="n"/>
    </row>
  </sheetData>
  <autoFilter ref="A4:J85"/>
  <dataValidations count="1">
    <dataValidation sqref="H5:H85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4" customWidth="1" min="2" max="2"/>
    <col width="10" customWidth="1" min="3" max="3"/>
    <col width="10" customWidth="1" min="4" max="4"/>
    <col width="9" customWidth="1" min="5" max="5"/>
    <col width="12" customWidth="1" min="6" max="6"/>
  </cols>
  <sheetData>
    <row r="1">
      <c r="A1" s="1" t="inlineStr">
        <is>
          <t>Build runs — one sitting, today</t>
        </is>
      </c>
    </row>
    <row r="2">
      <c r="A2" s="2" t="inlineStr">
        <is>
          <t>Points roll up from the Delivery Plan. Each run ends with something you can open and use.</t>
        </is>
      </c>
    </row>
    <row r="4">
      <c r="A4" s="16" t="inlineStr">
        <is>
          <t>Run</t>
        </is>
      </c>
      <c r="B4" s="16" t="inlineStr">
        <is>
          <t>What it delivers</t>
        </is>
      </c>
      <c r="C4" s="16" t="inlineStr">
        <is>
          <t>Points</t>
        </is>
      </c>
      <c r="D4" s="16" t="inlineStr">
        <is>
          <t>Stories</t>
        </is>
      </c>
      <c r="E4" s="16" t="inlineStr">
        <is>
          <t>Done</t>
        </is>
      </c>
      <c r="F4" s="16" t="inlineStr">
        <is>
          <t>Complete %</t>
        </is>
      </c>
    </row>
    <row r="5" ht="34" customHeight="1">
      <c r="A5" s="17" t="inlineStr">
        <is>
          <t>S0</t>
        </is>
      </c>
      <c r="B5" s="18" t="inlineStr">
        <is>
          <t>Already built: the grammar, all three phases, matching, invoice extraction, the master, restructuring, export, ERP read</t>
        </is>
      </c>
      <c r="C5" s="19">
        <f>SUMIFS('Delivery Plan'!$F:$F,'Delivery Plan'!$G:$G,$A5)</f>
        <v/>
      </c>
      <c r="D5" s="19">
        <f>COUNTIFS('Delivery Plan'!$G:$G,$A5)</f>
        <v/>
      </c>
      <c r="E5" s="19">
        <f>SUMIFS('Delivery Plan'!$F:$F,'Delivery Plan'!$G:$G,$A5,'Delivery Plan'!$H:$H,"Done")</f>
        <v/>
      </c>
      <c r="F5" s="20">
        <f>IFERROR(E5/C5,0)</f>
        <v/>
      </c>
    </row>
    <row r="6" ht="34" customHeight="1">
      <c r="A6" s="21" t="inlineStr">
        <is>
          <t>R1</t>
        </is>
      </c>
      <c r="B6" s="5" t="inlineStr">
        <is>
          <t>MiniMines theme and logo, the split landing page — decoder one side, directory the other, log in on top. Stats block removed</t>
        </is>
      </c>
      <c r="C6" s="4">
        <f>SUMIFS('Delivery Plan'!$F:$F,'Delivery Plan'!$G:$G,$A6)</f>
        <v/>
      </c>
      <c r="D6" s="4">
        <f>COUNTIFS('Delivery Plan'!$G:$G,$A6)</f>
        <v/>
      </c>
      <c r="E6" s="4">
        <f>SUMIFS('Delivery Plan'!$F:$F,'Delivery Plan'!$G:$G,$A6,'Delivery Plan'!$H:$H,"Done")</f>
        <v/>
      </c>
      <c r="F6" s="22">
        <f>IFERROR(E6/C6,0)</f>
        <v/>
      </c>
    </row>
    <row r="7" ht="34" customHeight="1">
      <c r="A7" s="21" t="inlineStr">
        <is>
          <t>R2</t>
        </is>
      </c>
      <c r="B7" s="5" t="inlineStr">
        <is>
          <t>Login, sessions, attribution from the session, user management, the creator shell behind the gate</t>
        </is>
      </c>
      <c r="C7" s="4">
        <f>SUMIFS('Delivery Plan'!$F:$F,'Delivery Plan'!$G:$G,$A7)</f>
        <v/>
      </c>
      <c r="D7" s="4">
        <f>COUNTIFS('Delivery Plan'!$G:$G,$A7)</f>
        <v/>
      </c>
      <c r="E7" s="4">
        <f>SUMIFS('Delivery Plan'!$F:$F,'Delivery Plan'!$G:$G,$A7,'Delivery Plan'!$H:$H,"Done")</f>
        <v/>
      </c>
      <c r="F7" s="22">
        <f>IFERROR(E7/C7,0)</f>
        <v/>
      </c>
    </row>
    <row r="8" ht="34" customHeight="1">
      <c r="A8" s="21" t="inlineStr">
        <is>
          <t>R3</t>
        </is>
      </c>
      <c r="B8" s="5" t="inlineStr">
        <is>
          <t>The create screen: paste or upload an invoice, three phases shown per line, cascading head-sub-head-group dropdowns, live code recomputation, edit before submit</t>
        </is>
      </c>
      <c r="C8" s="4">
        <f>SUMIFS('Delivery Plan'!$F:$F,'Delivery Plan'!$G:$G,$A8)</f>
        <v/>
      </c>
      <c r="D8" s="4">
        <f>COUNTIFS('Delivery Plan'!$G:$G,$A8)</f>
        <v/>
      </c>
      <c r="E8" s="4">
        <f>SUMIFS('Delivery Plan'!$F:$F,'Delivery Plan'!$G:$G,$A8,'Delivery Plan'!$H:$H,"Done")</f>
        <v/>
      </c>
      <c r="F8" s="22">
        <f>IFERROR(E8/C8,0)</f>
        <v/>
      </c>
    </row>
    <row r="9" ht="34" customHeight="1">
      <c r="A9" s="21" t="inlineStr">
        <is>
          <t>R4</t>
        </is>
      </c>
      <c r="B9" s="5" t="inlineStr">
        <is>
          <t>Item master as a fully editable directory, revision history on every save, one-click revert, activity feed with field-level diffs</t>
        </is>
      </c>
      <c r="C9" s="4">
        <f>SUMIFS('Delivery Plan'!$F:$F,'Delivery Plan'!$G:$G,$A9)</f>
        <v/>
      </c>
      <c r="D9" s="4">
        <f>COUNTIFS('Delivery Plan'!$G:$G,$A9)</f>
        <v/>
      </c>
      <c r="E9" s="4">
        <f>SUMIFS('Delivery Plan'!$F:$F,'Delivery Plan'!$G:$G,$A9,'Delivery Plan'!$H:$H,"Done")</f>
        <v/>
      </c>
      <c r="F9" s="22">
        <f>IFERROR(E9/C9,0)</f>
        <v/>
      </c>
    </row>
    <row r="10" ht="34" customHeight="1">
      <c r="A10" s="21" t="inlineStr">
        <is>
          <t>R5</t>
        </is>
      </c>
      <c r="B10" s="5" t="inlineStr">
        <is>
          <t>API frozen at /api/v1 with a real error contract, smoke suite, deployed to the internal server, starts on boot, daily backup</t>
        </is>
      </c>
      <c r="C10" s="4">
        <f>SUMIFS('Delivery Plan'!$F:$F,'Delivery Plan'!$G:$G,$A10)</f>
        <v/>
      </c>
      <c r="D10" s="4">
        <f>COUNTIFS('Delivery Plan'!$G:$G,$A10)</f>
        <v/>
      </c>
      <c r="E10" s="4">
        <f>SUMIFS('Delivery Plan'!$F:$F,'Delivery Plan'!$G:$G,$A10,'Delivery Plan'!$H:$H,"Done")</f>
        <v/>
      </c>
      <c r="F10" s="22">
        <f>IFERROR(E10/C10,0)</f>
        <v/>
      </c>
    </row>
    <row r="11" ht="34" customHeight="1">
      <c r="A11" s="23" t="inlineStr">
        <is>
          <t>NEEDS INPUT</t>
        </is>
      </c>
      <c r="B11" s="11" t="inlineStr">
        <is>
          <t>Blocked on something only you or the organisation can supply — see the next tab</t>
        </is>
      </c>
      <c r="C11" s="10">
        <f>SUMIFS('Delivery Plan'!$F:$F,'Delivery Plan'!$G:$G,$A11)</f>
        <v/>
      </c>
      <c r="D11" s="10">
        <f>COUNTIFS('Delivery Plan'!$G:$G,$A11)</f>
        <v/>
      </c>
      <c r="E11" s="10">
        <f>SUMIFS('Delivery Plan'!$F:$F,'Delivery Plan'!$G:$G,$A11,'Delivery Plan'!$H:$H,"Done")</f>
        <v/>
      </c>
      <c r="F11" s="24">
        <f>IFERROR(E11/C11,0)</f>
        <v/>
      </c>
    </row>
    <row r="12" ht="34" customHeight="1">
      <c r="A12" s="25" t="inlineStr">
        <is>
          <t>BACKLOG</t>
        </is>
      </c>
      <c r="B12" s="13" t="inlineStr">
        <is>
          <t>Agreed but not needed for go-live</t>
        </is>
      </c>
      <c r="C12" s="12">
        <f>SUMIFS('Delivery Plan'!$F:$F,'Delivery Plan'!$G:$G,$A12)</f>
        <v/>
      </c>
      <c r="D12" s="12">
        <f>COUNTIFS('Delivery Plan'!$G:$G,$A12)</f>
        <v/>
      </c>
      <c r="E12" s="12">
        <f>SUMIFS('Delivery Plan'!$F:$F,'Delivery Plan'!$G:$G,$A12,'Delivery Plan'!$H:$H,"Done")</f>
        <v/>
      </c>
      <c r="F12" s="26">
        <f>IFERROR(E12/C12,0)</f>
        <v/>
      </c>
    </row>
    <row r="13">
      <c r="A13" s="27" t="n"/>
      <c r="B13" s="25" t="inlineStr">
        <is>
          <t>TOTAL</t>
        </is>
      </c>
      <c r="C13" s="25">
        <f>SUM(C5:C12)</f>
        <v/>
      </c>
      <c r="D13" s="25">
        <f>SUM(D5:D12)</f>
        <v/>
      </c>
      <c r="E13" s="25">
        <f>SUM(E5:E12)</f>
        <v/>
      </c>
      <c r="F13" s="28">
        <f>IFERROR(E13/C13,0)</f>
        <v/>
      </c>
    </row>
    <row r="15">
      <c r="A15" s="29" t="inlineStr">
        <is>
          <t>Buildable today (R1-R5):</t>
        </is>
      </c>
      <c r="C15" s="29">
        <f>SUMIFS('Delivery Plan'!$F:$F,'Delivery Plan'!$G:$G,"R1")+SUMIFS('Delivery Plan'!$F:$F,'Delivery Plan'!$G:$G,"R2")+SUMIFS('Delivery Plan'!$F:$F,'Delivery Plan'!$G:$G,"R3")+SUMIFS('Delivery Plan'!$F:$F,'Delivery Plan'!$G:$G,"R4")+SUMIFS('Delivery Plan'!$F:$F,'Delivery Plan'!$G:$G,"R5")</f>
        <v/>
      </c>
    </row>
    <row r="16">
      <c r="A16" s="29" t="inlineStr">
        <is>
          <t>Blocked on your input:</t>
        </is>
      </c>
      <c r="C16" s="29">
        <f>SUMIFS('Delivery Plan'!$F:$F,'Delivery Plan'!$G:$G,"NEEDS INPUT")</f>
        <v/>
      </c>
    </row>
    <row r="18">
      <c r="A18" s="2" t="inlineStr">
        <is>
          <t>Every run leaves the app working. If we stop after R3 you still have a usable tool, just without version control.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0" customWidth="1" min="3" max="3"/>
    <col width="64" customWidth="1" min="4" max="4"/>
  </cols>
  <sheetData>
    <row r="1">
      <c r="A1" s="1" t="inlineStr">
        <is>
          <t>What I cannot do for you</t>
        </is>
      </c>
    </row>
    <row r="2">
      <c r="A2" s="2" t="inlineStr">
        <is>
          <t>These are real work items, not excuses. Each needs a thing only you or the organisation can supply. Give me the input and the work moves in the same sitting.</t>
        </is>
      </c>
    </row>
    <row r="4">
      <c r="A4" s="16" t="inlineStr">
        <is>
          <t>What I need from you</t>
        </is>
      </c>
      <c r="B4" s="16" t="inlineStr">
        <is>
          <t>Unblocks</t>
        </is>
      </c>
      <c r="C4" s="16" t="inlineStr">
        <is>
          <t>Points</t>
        </is>
      </c>
      <c r="D4" s="16" t="inlineStr">
        <is>
          <t>Why it cannot be faked</t>
        </is>
      </c>
    </row>
    <row r="5" ht="42" customHeight="1">
      <c r="A5" s="5" t="inlineStr">
        <is>
          <t>An LLM API key (Gemini Flash is free at this volume)</t>
        </is>
      </c>
      <c r="B5" s="5" t="inlineStr">
        <is>
          <t>D5, D6 — the sub-60% matching layer</t>
        </is>
      </c>
      <c r="C5" s="4" t="n">
        <v>11</v>
      </c>
      <c r="D5" s="5" t="inlineStr">
        <is>
          <t>Without a provider the third matching layer never runs. Fuzzy alone still works, but the hard lines stay questions for the operator.</t>
        </is>
      </c>
    </row>
    <row r="6" ht="42" customHeight="1">
      <c r="A6" s="5" t="inlineStr">
        <is>
          <t>Ten real scanned or photographed invoices</t>
        </is>
      </c>
      <c r="B6" s="5" t="inlineStr">
        <is>
          <t>F3, F4, F5 — OCR proven end to end</t>
        </is>
      </c>
      <c r="C6" s="4" t="n">
        <v>10</v>
      </c>
      <c r="D6" s="5" t="inlineStr">
        <is>
          <t>OCR accuracy depends entirely on your paper: fonts, stamps, skew, scan quality. Any number I quote from synthetic files would be fiction.</t>
        </is>
      </c>
    </row>
    <row r="7" ht="42" customHeight="1">
      <c r="A7" s="5" t="inlineStr">
        <is>
          <t>Written go-ahead to write into ERPNext UAT</t>
        </is>
      </c>
      <c r="B7" s="5" t="inlineStr">
        <is>
          <t>H4, H6, H7 — items actually created</t>
        </is>
      </c>
      <c r="C7" s="4" t="n">
        <v>15</v>
      </c>
      <c r="D7" s="5" t="inlineStr">
        <is>
          <t>Writing to a live system is your call, not mine. Dry-run shows the exact payload first.</t>
        </is>
      </c>
    </row>
    <row r="8" ht="42" customHeight="1">
      <c r="A8" s="5" t="inlineStr">
        <is>
          <t>An ERPNext login per creator</t>
        </is>
      </c>
      <c r="B8" s="5" t="inlineStr">
        <is>
          <t>H5, H8 — PROD go-live</t>
        </is>
      </c>
      <c r="C8" s="4" t="n">
        <v>8</v>
      </c>
      <c r="D8" s="5" t="inlineStr">
        <is>
          <t>A shared account leaves an audit trail naming nobody. This blocks PROD by design, not by preference.</t>
        </is>
      </c>
    </row>
    <row r="9" ht="42" customHeight="1">
      <c r="A9" s="5" t="inlineStr">
        <is>
          <t>Which desktop or box hosts it, and can it stay on</t>
        </is>
      </c>
      <c r="B9" s="5" t="inlineStr">
        <is>
          <t>J1, F3, J7 — deployment</t>
        </is>
      </c>
      <c r="C9" s="4" t="n">
        <v>9</v>
      </c>
      <c r="D9" s="5" t="inlineStr">
        <is>
          <t>Everything else is ready. I need a machine name and admin rights on it.</t>
        </is>
      </c>
    </row>
    <row r="10" ht="42" customHeight="1">
      <c r="A10" s="5" t="inlineStr">
        <is>
          <t>Your judgement on 889 groups: how far to cut</t>
        </is>
      </c>
      <c r="B10" s="5" t="inlineStr">
        <is>
          <t>I1, I3, I4, I5 — the clean-up</t>
        </is>
      </c>
      <c r="C10" s="4" t="n">
        <v>23</v>
      </c>
      <c r="D10" s="5" t="inlineStr">
        <is>
          <t>Which groups are genuinely duplicates is a business judgement about your materials. Guessing would corrupt the master.</t>
        </is>
      </c>
    </row>
    <row r="11" ht="42" customHeight="1">
      <c r="A11" s="5" t="inlineStr">
        <is>
          <t>CA verification of specialised HSN codes</t>
        </is>
      </c>
      <c r="B11" s="5" t="inlineStr">
        <is>
          <t>I6 — HSN backfill</t>
        </is>
      </c>
      <c r="C11" s="4" t="n">
        <v>5</v>
      </c>
      <c r="D11" s="5" t="inlineStr">
        <is>
          <t>Carried over from the item master work. Wrong HSN is a GST exposure, so it needs a human who is accountable.</t>
        </is>
      </c>
    </row>
    <row r="12" ht="42" customHeight="1">
      <c r="A12" s="5" t="inlineStr">
        <is>
          <t>Two weeks after go-live, and the creators' time</t>
        </is>
      </c>
      <c r="B12" s="5" t="inlineStr">
        <is>
          <t>J4, J5, J6 — training and the watch</t>
        </is>
      </c>
      <c r="C12" s="4" t="n">
        <v>11</v>
      </c>
      <c r="D12" s="5" t="inlineStr">
        <is>
          <t>Training needs people in a room. The watch needs time to pass.</t>
        </is>
      </c>
    </row>
    <row r="13">
      <c r="A13" s="30" t="n"/>
      <c r="B13" s="23" t="inlineStr">
        <is>
          <t>TOTAL BLOCKED</t>
        </is>
      </c>
      <c r="C13" s="23">
        <f>SUM(C5:C12)</f>
        <v/>
      </c>
      <c r="D13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10" customWidth="1" min="3" max="3"/>
    <col width="10" customWidth="1" min="4" max="4"/>
    <col width="11" customWidth="1" min="5" max="5"/>
    <col width="12" customWidth="1" min="6" max="6"/>
  </cols>
  <sheetData>
    <row r="1">
      <c r="A1" s="1" t="inlineStr">
        <is>
          <t>Epics</t>
        </is>
      </c>
    </row>
    <row r="2">
      <c r="A2" s="2" t="inlineStr">
        <is>
          <t>Calculated from the Delivery Plan.</t>
        </is>
      </c>
    </row>
    <row r="4">
      <c r="A4" s="16" t="inlineStr">
        <is>
          <t>Epic</t>
        </is>
      </c>
      <c r="B4" s="16" t="inlineStr">
        <is>
          <t>What it covers</t>
        </is>
      </c>
      <c r="C4" s="16" t="inlineStr">
        <is>
          <t>Stories</t>
        </is>
      </c>
      <c r="D4" s="16" t="inlineStr">
        <is>
          <t>Points</t>
        </is>
      </c>
      <c r="E4" s="16" t="inlineStr">
        <is>
          <t>Done pts</t>
        </is>
      </c>
      <c r="F4" s="16" t="inlineStr">
        <is>
          <t>Complete %</t>
        </is>
      </c>
    </row>
    <row r="5" ht="28" customHeight="1">
      <c r="A5" s="31" t="inlineStr">
        <is>
          <t>E0 Brand &amp; Shell</t>
        </is>
      </c>
      <c r="B5" s="5" t="inlineStr">
        <is>
          <t>MiniMines palette, logo and typeface; the stats block removed</t>
        </is>
      </c>
      <c r="C5" s="4">
        <f>COUNTIFS('Delivery Plan'!$B:$B,$A5)</f>
        <v/>
      </c>
      <c r="D5" s="4">
        <f>SUMIFS('Delivery Plan'!$F:$F,'Delivery Plan'!$B:$B,$A5)</f>
        <v/>
      </c>
      <c r="E5" s="4">
        <f>SUMIFS('Delivery Plan'!$F:$F,'Delivery Plan'!$B:$B,$A5,'Delivery Plan'!$H:$H,"Done")</f>
        <v/>
      </c>
      <c r="F5" s="22">
        <f>IFERROR(E5/D5,0)</f>
        <v/>
      </c>
    </row>
    <row r="6" ht="28" customHeight="1">
      <c r="A6" s="31" t="inlineStr">
        <is>
          <t>E1 Access &amp; Identity</t>
        </is>
      </c>
      <c r="B6" s="5" t="inlineStr">
        <is>
          <t>The split landing page anyone can use, and a login that leads to creation</t>
        </is>
      </c>
      <c r="C6" s="4">
        <f>COUNTIFS('Delivery Plan'!$B:$B,$A6)</f>
        <v/>
      </c>
      <c r="D6" s="4">
        <f>SUMIFS('Delivery Plan'!$F:$F,'Delivery Plan'!$B:$B,$A6)</f>
        <v/>
      </c>
      <c r="E6" s="4">
        <f>SUMIFS('Delivery Plan'!$F:$F,'Delivery Plan'!$B:$B,$A6,'Delivery Plan'!$H:$H,"Done")</f>
        <v/>
      </c>
      <c r="F6" s="22">
        <f>IFERROR(E6/D6,0)</f>
        <v/>
      </c>
    </row>
    <row r="7" ht="28" customHeight="1">
      <c r="A7" s="31" t="inlineStr">
        <is>
          <t>E2 API v1</t>
        </is>
      </c>
      <c r="B7" s="5" t="inlineStr">
        <is>
          <t>A stable, documented, versioned contract for the larger system</t>
        </is>
      </c>
      <c r="C7" s="4">
        <f>COUNTIFS('Delivery Plan'!$B:$B,$A7)</f>
        <v/>
      </c>
      <c r="D7" s="4">
        <f>SUMIFS('Delivery Plan'!$F:$F,'Delivery Plan'!$B:$B,$A7)</f>
        <v/>
      </c>
      <c r="E7" s="4">
        <f>SUMIFS('Delivery Plan'!$F:$F,'Delivery Plan'!$B:$B,$A7,'Delivery Plan'!$H:$H,"Done")</f>
        <v/>
      </c>
      <c r="F7" s="22">
        <f>IFERROR(E7/D7,0)</f>
        <v/>
      </c>
    </row>
    <row r="8" ht="28" customHeight="1">
      <c r="A8" s="31" t="inlineStr">
        <is>
          <t>E3 Code Engine</t>
        </is>
      </c>
      <c r="B8" s="5" t="inlineStr">
        <is>
          <t>The grammar, three phases, numbering, vacancies, freeze-on-first-use</t>
        </is>
      </c>
      <c r="C8" s="4">
        <f>COUNTIFS('Delivery Plan'!$B:$B,$A8)</f>
        <v/>
      </c>
      <c r="D8" s="4">
        <f>SUMIFS('Delivery Plan'!$F:$F,'Delivery Plan'!$B:$B,$A8)</f>
        <v/>
      </c>
      <c r="E8" s="4">
        <f>SUMIFS('Delivery Plan'!$F:$F,'Delivery Plan'!$B:$B,$A8,'Delivery Plan'!$H:$H,"Done")</f>
        <v/>
      </c>
      <c r="F8" s="22">
        <f>IFERROR(E8/D8,0)</f>
        <v/>
      </c>
    </row>
    <row r="9" ht="28" customHeight="1">
      <c r="A9" s="31" t="inlineStr">
        <is>
          <t>E4 Matching &amp; LLM</t>
        </is>
      </c>
      <c r="B9" s="5" t="inlineStr">
        <is>
          <t>Normaliser, fuzzy blend, alias learning, LLM below 60% confidence</t>
        </is>
      </c>
      <c r="C9" s="4">
        <f>COUNTIFS('Delivery Plan'!$B:$B,$A9)</f>
        <v/>
      </c>
      <c r="D9" s="4">
        <f>SUMIFS('Delivery Plan'!$F:$F,'Delivery Plan'!$B:$B,$A9)</f>
        <v/>
      </c>
      <c r="E9" s="4">
        <f>SUMIFS('Delivery Plan'!$F:$F,'Delivery Plan'!$B:$B,$A9,'Delivery Plan'!$H:$H,"Done")</f>
        <v/>
      </c>
      <c r="F9" s="22">
        <f>IFERROR(E9/D9,0)</f>
        <v/>
      </c>
    </row>
    <row r="10" ht="28" customHeight="1">
      <c r="A10" s="31" t="inlineStr">
        <is>
          <t>E5 Invoice &amp; OCR</t>
        </is>
      </c>
      <c r="B10" s="5" t="inlineStr">
        <is>
          <t>Reading text, PDF, scanned and photographed invoices into resolvable lines</t>
        </is>
      </c>
      <c r="C10" s="4">
        <f>COUNTIFS('Delivery Plan'!$B:$B,$A10)</f>
        <v/>
      </c>
      <c r="D10" s="4">
        <f>SUMIFS('Delivery Plan'!$F:$F,'Delivery Plan'!$B:$B,$A10)</f>
        <v/>
      </c>
      <c r="E10" s="4">
        <f>SUMIFS('Delivery Plan'!$F:$F,'Delivery Plan'!$B:$B,$A10,'Delivery Plan'!$H:$H,"Done")</f>
        <v/>
      </c>
      <c r="F10" s="22">
        <f>IFERROR(E10/D10,0)</f>
        <v/>
      </c>
    </row>
    <row r="11" ht="28" customHeight="1">
      <c r="A11" s="31" t="inlineStr">
        <is>
          <t>E6 Master &amp; Restructure</t>
        </is>
      </c>
      <c r="B11" s="5" t="inlineStr">
        <is>
          <t>Editable master, cascading dropdowns, revision history, revert, restructuring</t>
        </is>
      </c>
      <c r="C11" s="4">
        <f>COUNTIFS('Delivery Plan'!$B:$B,$A11)</f>
        <v/>
      </c>
      <c r="D11" s="4">
        <f>SUMIFS('Delivery Plan'!$F:$F,'Delivery Plan'!$B:$B,$A11)</f>
        <v/>
      </c>
      <c r="E11" s="4">
        <f>SUMIFS('Delivery Plan'!$F:$F,'Delivery Plan'!$B:$B,$A11,'Delivery Plan'!$H:$H,"Done")</f>
        <v/>
      </c>
      <c r="F11" s="22">
        <f>IFERROR(E11/D11,0)</f>
        <v/>
      </c>
    </row>
    <row r="12" ht="28" customHeight="1">
      <c r="A12" s="31" t="inlineStr">
        <is>
          <t>E7 ERPNext</t>
        </is>
      </c>
      <c r="B12" s="5" t="inlineStr">
        <is>
          <t>Reading live truth, and writing items back on submit</t>
        </is>
      </c>
      <c r="C12" s="4">
        <f>COUNTIFS('Delivery Plan'!$B:$B,$A12)</f>
        <v/>
      </c>
      <c r="D12" s="4">
        <f>SUMIFS('Delivery Plan'!$F:$F,'Delivery Plan'!$B:$B,$A12)</f>
        <v/>
      </c>
      <c r="E12" s="4">
        <f>SUMIFS('Delivery Plan'!$F:$F,'Delivery Plan'!$B:$B,$A12,'Delivery Plan'!$H:$H,"Done")</f>
        <v/>
      </c>
      <c r="F12" s="22">
        <f>IFERROR(E12/D12,0)</f>
        <v/>
      </c>
    </row>
    <row r="13" ht="28" customHeight="1">
      <c r="A13" s="31" t="inlineStr">
        <is>
          <t>E8 Data Quality</t>
        </is>
      </c>
      <c r="B13" s="5" t="inlineStr">
        <is>
          <t>Duplicate groups, junk codes, missing HSN</t>
        </is>
      </c>
      <c r="C13" s="4">
        <f>COUNTIFS('Delivery Plan'!$B:$B,$A13)</f>
        <v/>
      </c>
      <c r="D13" s="4">
        <f>SUMIFS('Delivery Plan'!$F:$F,'Delivery Plan'!$B:$B,$A13)</f>
        <v/>
      </c>
      <c r="E13" s="4">
        <f>SUMIFS('Delivery Plan'!$F:$F,'Delivery Plan'!$B:$B,$A13,'Delivery Plan'!$H:$H,"Done")</f>
        <v/>
      </c>
      <c r="F13" s="22">
        <f>IFERROR(E13/D13,0)</f>
        <v/>
      </c>
    </row>
    <row r="14" ht="28" customHeight="1">
      <c r="A14" s="31" t="inlineStr">
        <is>
          <t>E9 Deploy &amp; Handover</t>
        </is>
      </c>
      <c r="B14" s="5" t="inlineStr">
        <is>
          <t>Server, backup, start-on-boot, training, runbook, post-launch watch</t>
        </is>
      </c>
      <c r="C14" s="4">
        <f>COUNTIFS('Delivery Plan'!$B:$B,$A14)</f>
        <v/>
      </c>
      <c r="D14" s="4">
        <f>SUMIFS('Delivery Plan'!$F:$F,'Delivery Plan'!$B:$B,$A14)</f>
        <v/>
      </c>
      <c r="E14" s="4">
        <f>SUMIFS('Delivery Plan'!$F:$F,'Delivery Plan'!$B:$B,$A14,'Delivery Plan'!$H:$H,"Done")</f>
        <v/>
      </c>
      <c r="F14" s="22">
        <f>IFERROR(E14/D14,0)</f>
        <v/>
      </c>
    </row>
    <row r="15">
      <c r="A15" s="27" t="n"/>
      <c r="B15" s="25" t="inlineStr">
        <is>
          <t>TOTAL</t>
        </is>
      </c>
      <c r="C15" s="25">
        <f>SUM(C5:C14)</f>
        <v/>
      </c>
      <c r="D15" s="25">
        <f>SUM(D5:D14)</f>
        <v/>
      </c>
      <c r="E15" s="25">
        <f>SUM(E5:E14)</f>
        <v/>
      </c>
      <c r="F15" s="28">
        <f>IFERROR(E15/D15,0)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4" customWidth="1" min="2" max="2"/>
    <col width="11" customWidth="1" min="3" max="3"/>
    <col width="12" customWidth="1" min="4" max="4"/>
    <col width="60" customWidth="1" min="5" max="5"/>
    <col width="13" customWidth="1" min="6" max="6"/>
  </cols>
  <sheetData>
    <row r="1">
      <c r="A1" s="1" t="inlineStr">
        <is>
          <t>Risks</t>
        </is>
      </c>
    </row>
    <row r="3">
      <c r="A3" s="16" t="inlineStr">
        <is>
          <t>#</t>
        </is>
      </c>
      <c r="B3" s="16" t="inlineStr">
        <is>
          <t>Risk</t>
        </is>
      </c>
      <c r="C3" s="16" t="inlineStr">
        <is>
          <t>Impact</t>
        </is>
      </c>
      <c r="D3" s="16" t="inlineStr">
        <is>
          <t>Likelihood</t>
        </is>
      </c>
      <c r="E3" s="16" t="inlineStr">
        <is>
          <t>Response</t>
        </is>
      </c>
      <c r="F3" s="16" t="inlineStr">
        <is>
          <t>Status</t>
        </is>
      </c>
    </row>
    <row r="4" ht="36" customHeight="1">
      <c r="A4" s="4" t="n">
        <v>1</v>
      </c>
      <c r="B4" s="5" t="inlineStr">
        <is>
          <t>Building all five runs in one sitting means less testing per feature than the six-sprint plan allowed.</t>
        </is>
      </c>
      <c r="C4" s="32" t="inlineStr">
        <is>
          <t>High</t>
        </is>
      </c>
      <c r="D4" s="4" t="inlineStr">
        <is>
          <t>Certain</t>
        </is>
      </c>
      <c r="E4" s="5" t="inlineStr">
        <is>
          <t>Each run ends working and is exercised against the real seeded data before the next starts. Where a run is thin, it is named in the handover rather than hidden.</t>
        </is>
      </c>
      <c r="F4" s="4" t="inlineStr">
        <is>
          <t>Accepted</t>
        </is>
      </c>
    </row>
    <row r="5" ht="36" customHeight="1">
      <c r="A5" s="4" t="n">
        <v>2</v>
      </c>
      <c r="B5" s="5" t="inlineStr">
        <is>
          <t>Version control plus freeze-on-first-use interact awkwardly: a revert cannot restore a code that ERPNext has frozen.</t>
        </is>
      </c>
      <c r="C5" s="32" t="inlineStr">
        <is>
          <t>High</t>
        </is>
      </c>
      <c r="D5" s="4" t="inlineStr">
        <is>
          <t>Likely</t>
        </is>
      </c>
      <c r="E5" s="5" t="inlineStr">
        <is>
          <t>K10 makes revert restore fields only, and say plainly what it could not restore. Never a silent partial revert.</t>
        </is>
      </c>
      <c r="F5" s="4" t="inlineStr">
        <is>
          <t>Open</t>
        </is>
      </c>
    </row>
    <row r="6" ht="36" customHeight="1">
      <c r="A6" s="4" t="n">
        <v>3</v>
      </c>
      <c r="B6" s="5" t="inlineStr">
        <is>
          <t>OCR accuracy is completely unmeasured on your paper.</t>
        </is>
      </c>
      <c r="C6" s="32" t="inlineStr">
        <is>
          <t>High</t>
        </is>
      </c>
      <c r="D6" s="4" t="inlineStr">
        <is>
          <t>Possible</t>
        </is>
      </c>
      <c r="E6" s="5" t="inlineStr">
        <is>
          <t>Blocked on ten real invoices. Until then OCR is present but unproven, and the handover says so.</t>
        </is>
      </c>
      <c r="F6" s="4" t="inlineStr">
        <is>
          <t>Blocked</t>
        </is>
      </c>
    </row>
    <row r="7" ht="36" customHeight="1">
      <c r="A7" s="4" t="n">
        <v>4</v>
      </c>
      <c r="B7" s="5" t="inlineStr">
        <is>
          <t>The host is a single point of failure. If it sleeps, nobody can issue a code.</t>
        </is>
      </c>
      <c r="C7" s="32" t="inlineStr">
        <is>
          <t>High</t>
        </is>
      </c>
      <c r="D7" s="4" t="inlineStr">
        <is>
          <t>Likely</t>
        </is>
      </c>
      <c r="E7" s="5" t="inlineStr">
        <is>
          <t>Daily off-machine backup, start-on-boot. Move to an always-on box if it bites.</t>
        </is>
      </c>
      <c r="F7" s="4" t="inlineStr">
        <is>
          <t>Open</t>
        </is>
      </c>
    </row>
    <row r="8" ht="36" customHeight="1">
      <c r="A8" s="4" t="n">
        <v>5</v>
      </c>
      <c r="B8" s="5" t="inlineStr">
        <is>
          <t>Passwords cross the LAN in the clear over plain HTTP.</t>
        </is>
      </c>
      <c r="C8" s="10" t="inlineStr">
        <is>
          <t>Medium</t>
        </is>
      </c>
      <c r="D8" s="4" t="inlineStr">
        <is>
          <t>Certain</t>
        </is>
      </c>
      <c r="E8" s="5" t="inlineStr">
        <is>
          <t>Accepted for an internal tool. Use passwords not reused elsewhere. TLS if it ever leaves the LAN.</t>
        </is>
      </c>
      <c r="F8" s="4" t="inlineStr">
        <is>
          <t>Accepted</t>
        </is>
      </c>
    </row>
    <row r="9" ht="36" customHeight="1">
      <c r="A9" s="4" t="n">
        <v>6</v>
      </c>
      <c r="B9" s="5" t="inlineStr">
        <is>
          <t>Group de-duplication keeps slipping. Every month more codes freeze and the clean-up gets permanently dearer.</t>
        </is>
      </c>
      <c r="C9" s="32" t="inlineStr">
        <is>
          <t>High</t>
        </is>
      </c>
      <c r="D9" s="4" t="inlineStr">
        <is>
          <t>Likely</t>
        </is>
      </c>
      <c r="E9" s="5" t="inlineStr">
        <is>
          <t>Blocked on your judgement. This is the item I would push hardest to unblock first.</t>
        </is>
      </c>
      <c r="F9" s="4" t="inlineStr">
        <is>
          <t>Blocked</t>
        </is>
      </c>
    </row>
    <row r="10" ht="36" customHeight="1">
      <c r="A10" s="4" t="n">
        <v>7</v>
      </c>
      <c r="B10" s="5" t="inlineStr">
        <is>
          <t>Writing to PROD under a shared account leaves an audit trail naming nobody.</t>
        </is>
      </c>
      <c r="C10" s="32" t="inlineStr">
        <is>
          <t>High</t>
        </is>
      </c>
      <c r="D10" s="4" t="inlineStr">
        <is>
          <t>Certain</t>
        </is>
      </c>
      <c r="E10" s="5" t="inlineStr">
        <is>
          <t>Per-creator ERP credentials block PROD go-live by design.</t>
        </is>
      </c>
      <c r="F10" s="4" t="inlineStr">
        <is>
          <t>Blocked</t>
        </is>
      </c>
    </row>
    <row r="11" ht="36" customHeight="1">
      <c r="A11" s="4" t="n">
        <v>8</v>
      </c>
      <c r="B11" s="5" t="inlineStr">
        <is>
          <t>Anyone who can log in can restructure the master, with no approval gate, by instruction.</t>
        </is>
      </c>
      <c r="C11" s="10" t="inlineStr">
        <is>
          <t>Medium</t>
        </is>
      </c>
      <c r="D11" s="4" t="inlineStr">
        <is>
          <t>Possible</t>
        </is>
      </c>
      <c r="E11" s="5" t="inlineStr">
        <is>
          <t>Preview, attribution, full revision history and one-click revert. Revisit only if it actually causes harm.</t>
        </is>
      </c>
      <c r="F11" s="4" t="inlineStr">
        <is>
          <t>Accepted</t>
        </is>
      </c>
    </row>
    <row r="12" ht="36" customHeight="1">
      <c r="A12" s="4" t="n">
        <v>9</v>
      </c>
      <c r="B12" s="5" t="inlineStr">
        <is>
          <t>A structural change re-codes an item ERPNext has already transacted.</t>
        </is>
      </c>
      <c r="C12" s="32" t="inlineStr">
        <is>
          <t>High</t>
        </is>
      </c>
      <c r="D12" s="4" t="inlineStr">
        <is>
          <t>Unlikely</t>
        </is>
      </c>
      <c r="E12" s="5" t="inlineStr">
        <is>
          <t>Freeze-on-first-use makes it impossible by design; every change is previewed first.</t>
        </is>
      </c>
      <c r="F12" s="4" t="inlineStr">
        <is>
          <t>Mitigated</t>
        </is>
      </c>
    </row>
    <row r="13" ht="36" customHeight="1">
      <c r="A13" s="4" t="n">
        <v>10</v>
      </c>
      <c r="B13" s="5" t="inlineStr">
        <is>
          <t>The larger system builds against an API that then shifts underneath it.</t>
        </is>
      </c>
      <c r="C13" s="10" t="inlineStr">
        <is>
          <t>Medium</t>
        </is>
      </c>
      <c r="D13" s="4" t="inlineStr">
        <is>
          <t>Possible</t>
        </is>
      </c>
      <c r="E13" s="5" t="inlineStr">
        <is>
          <t>R5 freezes the contract at /api/v1 before anyone integrates.</t>
        </is>
      </c>
      <c r="F13" s="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70" customWidth="1" min="3" max="3"/>
    <col width="20" customWidth="1" min="4" max="4"/>
  </cols>
  <sheetData>
    <row r="1">
      <c r="A1" s="1" t="inlineStr">
        <is>
          <t>Decision log</t>
        </is>
      </c>
    </row>
    <row r="2">
      <c r="A2" s="2" t="inlineStr">
        <is>
          <t>Amber rows need your word before or during the build.</t>
        </is>
      </c>
    </row>
    <row r="4">
      <c r="A4" s="16" t="inlineStr">
        <is>
          <t>#</t>
        </is>
      </c>
      <c r="B4" s="16" t="inlineStr">
        <is>
          <t>Decision</t>
        </is>
      </c>
      <c r="C4" s="16" t="inlineStr">
        <is>
          <t>Rationale</t>
        </is>
      </c>
      <c r="D4" s="16" t="inlineStr">
        <is>
          <t>Status</t>
        </is>
      </c>
    </row>
    <row r="5" ht="30" customHeight="1">
      <c r="A5" s="4" t="n">
        <v>1</v>
      </c>
      <c r="B5" s="5" t="inlineStr">
        <is>
          <t>Variable-length codes, never padded</t>
        </is>
      </c>
      <c r="C5" s="5" t="inlineStr">
        <is>
          <t>Interior gaps carry meaning as 00; trailing gaps carry none. Lengths 7/9/11/13/15/17.</t>
        </is>
      </c>
      <c r="D5" s="4" t="inlineStr">
        <is>
          <t>Locked</t>
        </is>
      </c>
    </row>
    <row r="6" ht="30" customHeight="1">
      <c r="A6" s="4" t="n">
        <v>2</v>
      </c>
      <c r="B6" s="5" t="inlineStr">
        <is>
          <t>Vendor sits last, only in groups that declare it</t>
        </is>
      </c>
      <c r="C6" s="5" t="inlineStr">
        <is>
          <t>Four battery groups declare a Maker slot. Elsewhere one item keeps one code regardless of supplier.</t>
        </is>
      </c>
      <c r="D6" s="4" t="inlineStr">
        <is>
          <t>Locked</t>
        </is>
      </c>
    </row>
    <row r="7" ht="30" customHeight="1">
      <c r="A7" s="4" t="n">
        <v>3</v>
      </c>
      <c r="B7" s="5" t="inlineStr">
        <is>
          <t>Vendor from the invoice line only, never the header</t>
        </is>
      </c>
      <c r="C7" s="5" t="inlineStr">
        <is>
          <t>A supplier named at the top of a page says nothing about an individual line.</t>
        </is>
      </c>
      <c r="D7" s="4" t="inlineStr">
        <is>
          <t>Locked</t>
        </is>
      </c>
    </row>
    <row r="8" ht="30" customHeight="1">
      <c r="A8" s="4" t="n">
        <v>4</v>
      </c>
      <c r="B8" s="5" t="inlineStr">
        <is>
          <t>No -R / -W / -F state suffixes</t>
        </is>
      </c>
      <c r="C8" s="5" t="inlineStr">
        <is>
          <t>Removed entirely.</t>
        </is>
      </c>
      <c r="D8" s="4" t="inlineStr">
        <is>
          <t>Locked</t>
        </is>
      </c>
    </row>
    <row r="9" ht="30" customHeight="1">
      <c r="A9" s="4" t="n">
        <v>5</v>
      </c>
      <c r="B9" s="5" t="inlineStr">
        <is>
          <t>Spec slot meaning is per group</t>
        </is>
      </c>
      <c r="C9" s="5" t="inlineStr">
        <is>
          <t>Air Freshener uses Type and Size; Battery Pack uses Form Factor, Chemistry, Size, Capacity, Maker.</t>
        </is>
      </c>
      <c r="D9" s="4" t="inlineStr">
        <is>
          <t>Locked</t>
        </is>
      </c>
    </row>
    <row r="10" ht="30" customHeight="1">
      <c r="A10" s="4" t="n">
        <v>6</v>
      </c>
      <c r="B10" s="5" t="inlineStr">
        <is>
          <t>Group numbers restart inside each sub-head</t>
        </is>
      </c>
      <c r="C10" s="5" t="inlineStr">
        <is>
          <t>999 per sub-head is ample at 889 groups.</t>
        </is>
      </c>
      <c r="D10" s="4" t="inlineStr">
        <is>
          <t>Locked</t>
        </is>
      </c>
    </row>
    <row r="11" ht="30" customHeight="1">
      <c r="A11" s="4" t="n">
        <v>7</v>
      </c>
      <c r="B11" s="5" t="inlineStr">
        <is>
          <t>A vacated group number is parked, not reused</t>
        </is>
      </c>
      <c r="C11" s="5" t="inlineStr">
        <is>
          <t>Released only to a &gt;=88% name match. The number carries the meaning of what held it.</t>
        </is>
      </c>
      <c r="D11" s="4" t="inlineStr">
        <is>
          <t>Locked</t>
        </is>
      </c>
    </row>
    <row r="12" ht="30" customHeight="1">
      <c r="A12" s="4" t="n">
        <v>8</v>
      </c>
      <c r="B12" s="5" t="inlineStr">
        <is>
          <t>Prefix collisions walk to the next free combination</t>
        </is>
      </c>
      <c r="C12" s="5" t="inlineStr">
        <is>
          <t>Seeded prefixes read from codes already issued, so CEEU and its like survive.</t>
        </is>
      </c>
      <c r="D12" s="4" t="inlineStr">
        <is>
          <t>Locked</t>
        </is>
      </c>
    </row>
    <row r="13" ht="30" customHeight="1">
      <c r="A13" s="4" t="n">
        <v>9</v>
      </c>
      <c r="B13" s="5" t="inlineStr">
        <is>
          <t>No approval workflow</t>
        </is>
      </c>
      <c r="C13" s="5" t="inlineStr">
        <is>
          <t>Preview, attribution, revision history and revert replace permission.</t>
        </is>
      </c>
      <c r="D13" s="4" t="inlineStr">
        <is>
          <t>Locked</t>
        </is>
      </c>
    </row>
    <row r="14" ht="30" customHeight="1">
      <c r="A14" s="4" t="n">
        <v>10</v>
      </c>
      <c r="B14" s="5" t="inlineStr">
        <is>
          <t>Two tiers, not roles: public read, login to create</t>
        </is>
      </c>
      <c r="C14" s="5" t="inlineStr">
        <is>
          <t>You have two kinds of people and one permission. A role matrix would never earn its keep.</t>
        </is>
      </c>
      <c r="D14" s="4" t="inlineStr">
        <is>
          <t>Locked</t>
        </is>
      </c>
    </row>
    <row r="15" ht="30" customHeight="1">
      <c r="A15" s="4" t="n">
        <v>11</v>
      </c>
      <c r="B15" s="5" t="inlineStr">
        <is>
          <t>Landing page is split: decoder one side, directory the other</t>
        </is>
      </c>
      <c r="C15" s="5" t="inlineStr">
        <is>
          <t>Most people only ever need to look something up. That is the front door.</t>
        </is>
      </c>
      <c r="D15" s="4" t="inlineStr">
        <is>
          <t>Locked</t>
        </is>
      </c>
    </row>
    <row r="16" ht="30" customHeight="1">
      <c r="A16" s="4" t="n">
        <v>12</v>
      </c>
      <c r="B16" s="5" t="inlineStr">
        <is>
          <t>Item master is the editable twin of the public directory</t>
        </is>
      </c>
      <c r="C16" s="5" t="inlineStr">
        <is>
          <t>Same rows, same columns, editable behind the login.</t>
        </is>
      </c>
      <c r="D16" s="4" t="inlineStr">
        <is>
          <t>Locked</t>
        </is>
      </c>
    </row>
    <row r="17" ht="30" customHeight="1">
      <c r="A17" s="4" t="n">
        <v>13</v>
      </c>
      <c r="B17" s="5" t="inlineStr">
        <is>
          <t>Every save is a version, and any version can be restored</t>
        </is>
      </c>
      <c r="C17" s="5" t="inlineStr">
        <is>
          <t>Replaces approval with reversibility.</t>
        </is>
      </c>
      <c r="D17" s="4" t="inlineStr">
        <is>
          <t>Locked</t>
        </is>
      </c>
    </row>
    <row r="18" ht="30" customHeight="1">
      <c r="A18" s="10" t="n">
        <v>14</v>
      </c>
      <c r="B18" s="11" t="inlineStr">
        <is>
          <t>Simple username and password, no OTP, no SSO</t>
        </is>
      </c>
      <c r="C18" s="11" t="inlineStr">
        <is>
          <t>Read from 'simple authentication'. If you meant a one-time code by email or SMS, say so — it needs a delivery channel and is a different build.</t>
        </is>
      </c>
      <c r="D18" s="10" t="inlineStr">
        <is>
          <t>For confirmation</t>
        </is>
      </c>
    </row>
    <row r="19" ht="30" customHeight="1">
      <c r="A19" s="4" t="n">
        <v>15</v>
      </c>
      <c r="B19" s="5" t="inlineStr">
        <is>
          <t>The LLM is consulted only below 60% confidence</t>
        </is>
      </c>
      <c r="C19" s="5" t="inlineStr">
        <is>
          <t>Above it, fuzzy decides. Keeps cost near zero on routine lines.</t>
        </is>
      </c>
      <c r="D19" s="4" t="inlineStr">
        <is>
          <t>Locked, threshold to calibrate</t>
        </is>
      </c>
    </row>
    <row r="20" ht="30" customHeight="1">
      <c r="A20" s="10" t="n">
        <v>16</v>
      </c>
      <c r="B20" s="11" t="inlineStr">
        <is>
          <t>Freeze on first use: codes live in ERPNext are never rewritten</t>
        </is>
      </c>
      <c r="C20" s="11" t="inlineStr">
        <is>
          <t>Submitted Frappe documents are immutable and renames cascade. Kept and flagged stale instead.</t>
        </is>
      </c>
      <c r="D20" s="10" t="inlineStr">
        <is>
          <t>For confirmation</t>
        </is>
      </c>
    </row>
    <row r="21" ht="30" customHeight="1">
      <c r="A21" s="10" t="n">
        <v>17</v>
      </c>
      <c r="B21" s="11" t="inlineStr">
        <is>
          <t>A revert restores fields, never a frozen code</t>
        </is>
      </c>
      <c r="C21" s="11" t="inlineStr">
        <is>
          <t>Where version control meets ERPNext reality. It says plainly what it could not restore.</t>
        </is>
      </c>
      <c r="D21" s="10" t="inlineStr">
        <is>
          <t>For confirmation</t>
        </is>
      </c>
    </row>
    <row r="22" ht="30" customHeight="1">
      <c r="A22" s="4" t="n">
        <v>18</v>
      </c>
      <c r="B22" s="5" t="inlineStr">
        <is>
          <t>One SQLite file on one internal server</t>
        </is>
      </c>
      <c r="C22" s="5" t="inlineStr">
        <is>
          <t>Makes duplicate codes structurally impossible. Accepts the host as a single point of failure.</t>
        </is>
      </c>
      <c r="D22" s="4" t="inlineStr">
        <is>
          <t>Locked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6" customWidth="1" min="2" max="2"/>
  </cols>
  <sheetData>
    <row r="1">
      <c r="A1" s="1" t="inlineStr">
        <is>
          <t>Definition of Done</t>
        </is>
      </c>
    </row>
    <row r="2">
      <c r="A2" s="2" t="inlineStr">
        <is>
          <t>Compressed to one sitting, so this is the floor, not the ceiling.</t>
        </is>
      </c>
    </row>
    <row r="4" ht="26" customHeight="1">
      <c r="A4" s="33" t="n">
        <v>1</v>
      </c>
      <c r="B4" s="34" t="inlineStr">
        <is>
          <t>The acceptance criteria on the Delivery Plan row are met as written, not as reinterpreted.</t>
        </is>
      </c>
    </row>
    <row r="5" ht="26" customHeight="1">
      <c r="A5" s="33" t="n">
        <v>2</v>
      </c>
      <c r="B5" s="34" t="inlineStr">
        <is>
          <t>Exercised against the real seeded data — 889 groups, 1,947 items, 2,677 live ERP codes — never a toy fixture.</t>
        </is>
      </c>
    </row>
    <row r="6" ht="26" customHeight="1">
      <c r="A6" s="33" t="n">
        <v>3</v>
      </c>
      <c r="B6" s="34" t="inlineStr">
        <is>
          <t>Any rule that protects the master is enforced in the API, not only in the interface.</t>
        </is>
      </c>
    </row>
    <row r="7" ht="26" customHeight="1">
      <c r="A7" s="33" t="n">
        <v>4</v>
      </c>
      <c r="B7" s="34" t="inlineStr">
        <is>
          <t>One failure path tried on purpose, producing a clear message rather than a crash or a silent wrong answer.</t>
        </is>
      </c>
    </row>
    <row r="8" ht="26" customHeight="1">
      <c r="A8" s="33" t="n">
        <v>5</v>
      </c>
      <c r="B8" s="34" t="inlineStr">
        <is>
          <t>Every write is attributed to the authenticated user and appears in the activity log.</t>
        </is>
      </c>
    </row>
    <row r="9" ht="26" customHeight="1">
      <c r="A9" s="33" t="n">
        <v>6</v>
      </c>
      <c r="B9" s="34" t="inlineStr">
        <is>
          <t>The app still starts and the previous runs still work.</t>
        </is>
      </c>
    </row>
    <row r="10" ht="26" customHeight="1">
      <c r="A10" s="33" t="n">
        <v>7</v>
      </c>
      <c r="B10" s="34" t="inlineStr">
        <is>
          <t>Anything thin or untested is written into the handover, not carried in someone's head.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2026-08-06T05:58:03Z</dcterms:created>
  <dcterms:modified xmlns:dcterms="http://purl.org/dc/terms/" xmlns:xsi="http://www.w3.org/2001/XMLSchema-instance" xsi:type="dcterms:W3CDTF">2026-08-06T05:58:03Z</dcterms:modified>
</cp:coreProperties>
</file>