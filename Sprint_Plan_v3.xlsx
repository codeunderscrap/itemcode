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livery Plan" sheetId="1" state="visible" r:id="rId1"/>
    <sheet xmlns:r="http://schemas.openxmlformats.org/officeDocument/2006/relationships" name="Runs" sheetId="2" state="visible" r:id="rId2"/>
    <sheet xmlns:r="http://schemas.openxmlformats.org/officeDocument/2006/relationships" name="Needs Your Input" sheetId="3" state="visible" r:id="rId3"/>
    <sheet xmlns:r="http://schemas.openxmlformats.org/officeDocument/2006/relationships" name="Epics" sheetId="4" state="visible" r:id="rId4"/>
    <sheet xmlns:r="http://schemas.openxmlformats.org/officeDocument/2006/relationships" name="Risks" sheetId="5" state="visible" r:id="rId5"/>
    <sheet xmlns:r="http://schemas.openxmlformats.org/officeDocument/2006/relationships" name="Decisions" sheetId="6" state="visible" r:id="rId6"/>
    <sheet xmlns:r="http://schemas.openxmlformats.org/officeDocument/2006/relationships" name="Definition of Done" sheetId="7" state="visible" r:id="rId7"/>
  </sheets>
  <definedNames>
    <definedName name="_xlnm._FilterDatabase" localSheetId="0" hidden="1">'Delivery Plan'!$A$4:$K$103</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001B2E"/>
      <sz val="14"/>
    </font>
    <font>
      <name val="Arial"/>
      <color rgb="00595959"/>
      <sz val="9"/>
    </font>
    <font>
      <name val="Arial"/>
      <b val="1"/>
      <color rgb="00FFFFFF"/>
      <sz val="10"/>
    </font>
    <font>
      <name val="Arial"/>
      <sz val="10"/>
    </font>
    <font>
      <name val="Arial"/>
      <b val="1"/>
      <sz val="10"/>
    </font>
    <font>
      <b val="1"/>
      <color rgb="00FFFFFF"/>
    </font>
  </fonts>
  <fills count="11">
    <fill>
      <patternFill/>
    </fill>
    <fill>
      <patternFill patternType="gray125"/>
    </fill>
    <fill>
      <patternFill patternType="solid">
        <fgColor rgb="00001B2E"/>
      </patternFill>
    </fill>
    <fill>
      <patternFill patternType="solid">
        <fgColor rgb="00E8F4F8"/>
      </patternFill>
    </fill>
    <fill>
      <patternFill patternType="solid">
        <fgColor rgb="00E2EFDA"/>
      </patternFill>
    </fill>
    <fill>
      <patternFill patternType="solid">
        <fgColor rgb="00FFF2CC"/>
      </patternFill>
    </fill>
    <fill>
      <patternFill patternType="solid">
        <fgColor rgb="00F2F2F2"/>
      </patternFill>
    </fill>
    <fill>
      <patternFill patternType="solid">
        <fgColor rgb="003B6E93"/>
      </patternFill>
    </fill>
    <fill>
      <patternFill patternType="solid">
        <fgColor rgb="00C6E0B4"/>
      </patternFill>
    </fill>
    <fill>
      <patternFill patternType="solid">
        <fgColor rgb="00FCE4EC"/>
      </patternFill>
    </fill>
    <fill>
      <patternFill patternType="solid">
        <fgColor rgb="001F3B4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vertical="top" wrapText="1"/>
    </xf>
    <xf numFmtId="0" fontId="4" fillId="3" borderId="1" applyAlignment="1" pivotButton="0" quotePrefix="0" xfId="0">
      <alignment horizontal="center" vertical="center"/>
    </xf>
    <xf numFmtId="0" fontId="4" fillId="3" borderId="1" applyAlignment="1" pivotButton="0" quotePrefix="0" xfId="0">
      <alignment vertical="top" wrapText="1"/>
    </xf>
    <xf numFmtId="0" fontId="4" fillId="4" borderId="1" applyAlignment="1" pivotButton="0" quotePrefix="0" xfId="0">
      <alignment horizontal="center" vertical="center"/>
    </xf>
    <xf numFmtId="0" fontId="4" fillId="4" borderId="1" applyAlignment="1" pivotButton="0" quotePrefix="0" xfId="0">
      <alignment vertical="top" wrapText="1"/>
    </xf>
    <xf numFmtId="0" fontId="4" fillId="5" borderId="1" applyAlignment="1" pivotButton="0" quotePrefix="0" xfId="0">
      <alignment horizontal="center" vertical="center"/>
    </xf>
    <xf numFmtId="0" fontId="4" fillId="5" borderId="1" applyAlignment="1" pivotButton="0" quotePrefix="0" xfId="0">
      <alignment vertical="top" wrapText="1"/>
    </xf>
    <xf numFmtId="0" fontId="4" fillId="6" borderId="1" applyAlignment="1" pivotButton="0" quotePrefix="0" xfId="0">
      <alignment horizontal="center" vertical="center"/>
    </xf>
    <xf numFmtId="0" fontId="4" fillId="6" borderId="1" applyAlignment="1" pivotButton="0" quotePrefix="0" xfId="0">
      <alignment vertical="top" wrapText="1"/>
    </xf>
    <xf numFmtId="0" fontId="0" fillId="6" borderId="1" pivotButton="0" quotePrefix="0" xfId="0"/>
    <xf numFmtId="0" fontId="5" fillId="6" borderId="1" pivotButton="0" quotePrefix="0" xfId="0"/>
    <xf numFmtId="0" fontId="3" fillId="7" borderId="1" applyAlignment="1" pivotButton="0" quotePrefix="0" xfId="0">
      <alignment horizontal="center" vertical="center"/>
    </xf>
    <xf numFmtId="0" fontId="5" fillId="8" borderId="1" applyAlignment="1" pivotButton="0" quotePrefix="0" xfId="0">
      <alignment horizontal="center" vertical="center"/>
    </xf>
    <xf numFmtId="0" fontId="4" fillId="8" borderId="1" applyAlignment="1" pivotButton="0" quotePrefix="0" xfId="0">
      <alignment vertical="top" wrapText="1"/>
    </xf>
    <xf numFmtId="0" fontId="4" fillId="8" borderId="1" applyAlignment="1" pivotButton="0" quotePrefix="0" xfId="0">
      <alignment horizontal="center" vertical="center"/>
    </xf>
    <xf numFmtId="9" fontId="4" fillId="8" borderId="1" applyAlignment="1" pivotButton="0" quotePrefix="0" xfId="0">
      <alignment horizontal="center" vertical="center"/>
    </xf>
    <xf numFmtId="0" fontId="5" fillId="0" borderId="1" applyAlignment="1" pivotButton="0" quotePrefix="0" xfId="0">
      <alignment horizontal="center" vertical="center"/>
    </xf>
    <xf numFmtId="9" fontId="4" fillId="0" borderId="1" applyAlignment="1" pivotButton="0" quotePrefix="0" xfId="0">
      <alignment horizontal="center" vertical="center"/>
    </xf>
    <xf numFmtId="0" fontId="5" fillId="5" borderId="1" applyAlignment="1" pivotButton="0" quotePrefix="0" xfId="0">
      <alignment horizontal="center" vertical="center"/>
    </xf>
    <xf numFmtId="9" fontId="4" fillId="5" borderId="1" applyAlignment="1" pivotButton="0" quotePrefix="0" xfId="0">
      <alignment horizontal="center" vertical="center"/>
    </xf>
    <xf numFmtId="0" fontId="5" fillId="6" borderId="1" applyAlignment="1" pivotButton="0" quotePrefix="0" xfId="0">
      <alignment horizontal="center" vertical="center"/>
    </xf>
    <xf numFmtId="9" fontId="4" fillId="6" borderId="1" applyAlignment="1" pivotButton="0" quotePrefix="0" xfId="0">
      <alignment horizontal="center" vertical="center"/>
    </xf>
    <xf numFmtId="0" fontId="0" fillId="6" borderId="1" applyAlignment="1" pivotButton="0" quotePrefix="0" xfId="0">
      <alignment horizontal="center" vertical="center"/>
    </xf>
    <xf numFmtId="9" fontId="5" fillId="6" borderId="1" applyAlignment="1" pivotButton="0" quotePrefix="0" xfId="0">
      <alignment horizontal="center" vertical="center"/>
    </xf>
    <xf numFmtId="0" fontId="5" fillId="0" borderId="0" pivotButton="0" quotePrefix="0" xfId="0"/>
    <xf numFmtId="0" fontId="0" fillId="5" borderId="1" applyAlignment="1" pivotButton="0" quotePrefix="0" xfId="0">
      <alignment horizontal="center" vertical="center"/>
    </xf>
    <xf numFmtId="0" fontId="5" fillId="0" borderId="1" applyAlignment="1" pivotButton="0" quotePrefix="0" xfId="0">
      <alignment vertical="top" wrapText="1"/>
    </xf>
    <xf numFmtId="0" fontId="4" fillId="9" borderId="1" applyAlignment="1" pivotButton="0" quotePrefix="0" xfId="0">
      <alignment horizontal="center" vertical="center"/>
    </xf>
    <xf numFmtId="0" fontId="5" fillId="0" borderId="0" applyAlignment="1" pivotButton="0" quotePrefix="0" xfId="0">
      <alignment horizontal="center" vertical="center"/>
    </xf>
    <xf numFmtId="0" fontId="4" fillId="0" borderId="0" applyAlignment="1" pivotButton="0" quotePrefix="0" xfId="0">
      <alignment vertical="top" wrapText="1"/>
    </xf>
    <xf numFmtId="0" fontId="6" fillId="1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4"/>
  <sheetViews>
    <sheetView showGridLines="0" workbookViewId="0">
      <pane ySplit="4" topLeftCell="A5" activePane="bottomLeft" state="frozen"/>
      <selection pane="bottomLeft" activeCell="A1" sqref="A1"/>
    </sheetView>
  </sheetViews>
  <sheetFormatPr baseColWidth="8" defaultRowHeight="15"/>
  <cols>
    <col width="7" customWidth="1" min="1" max="1"/>
    <col width="14" customWidth="1" min="2" max="2"/>
    <col width="24" customWidth="1" min="3" max="3"/>
    <col width="36" customWidth="1" min="4" max="4"/>
    <col width="64" customWidth="1" min="5" max="5"/>
    <col width="9" customWidth="1" min="6" max="6"/>
    <col width="8" customWidth="1" min="7" max="7"/>
    <col width="13" customWidth="1" min="8" max="8"/>
    <col width="12" customWidth="1" min="9" max="9"/>
    <col width="12" customWidth="1" min="10" max="10"/>
    <col width="34" customWidth="1" min="11" max="11"/>
    <col width="30" customWidth="1" min="12" max="12"/>
    <col width="46" customWidth="1" min="13" max="13"/>
    <col width="60" customWidth="1" min="14" max="14"/>
    <col width="60" customWidth="1" min="15" max="15"/>
    <col width="14" customWidth="1" min="16" max="16"/>
    <col width="30" customWidth="1" min="17" max="17"/>
    <col width="46" customWidth="1" min="18" max="18"/>
    <col width="60" customWidth="1" min="19" max="19"/>
    <col width="60" customWidth="1" min="20" max="20"/>
    <col width="14" customWidth="1" min="21" max="21"/>
  </cols>
  <sheetData>
    <row r="1">
      <c r="A1" s="1" t="inlineStr">
        <is>
          <t>Item Code Studio — Delivery Plan</t>
        </is>
      </c>
    </row>
    <row r="2">
      <c r="A2" s="2" t="inlineStr">
        <is>
          <t>Prepared for Anuraag · 6 August 2026 · v2.0 · R1-R5 are today's build runs.  S0 = already built and verified.  NEEDS INPUT = cannot be done by me; the Notes column says what is required.</t>
        </is>
      </c>
    </row>
    <row r="4">
      <c r="A4" s="3" t="inlineStr">
        <is>
          <t>ID</t>
        </is>
      </c>
      <c r="B4" s="3" t="inlineStr">
        <is>
          <t>Agent</t>
        </is>
      </c>
      <c r="C4" s="3" t="inlineStr">
        <is>
          <t>Epic</t>
        </is>
      </c>
      <c r="D4" s="3" t="inlineStr">
        <is>
          <t>Story</t>
        </is>
      </c>
      <c r="E4" s="3" t="inlineStr">
        <is>
          <t>Acceptance criteria</t>
        </is>
      </c>
      <c r="F4" s="3" t="inlineStr">
        <is>
          <t>Priority</t>
        </is>
      </c>
      <c r="G4" s="3" t="inlineStr">
        <is>
          <t>Points</t>
        </is>
      </c>
      <c r="H4" s="3" t="inlineStr">
        <is>
          <t>Run</t>
        </is>
      </c>
      <c r="I4" s="3" t="inlineStr">
        <is>
          <t>Status</t>
        </is>
      </c>
      <c r="J4" s="3" t="inlineStr">
        <is>
          <t>Depends on</t>
        </is>
      </c>
      <c r="K4" s="3" t="inlineStr">
        <is>
          <t>Notes</t>
        </is>
      </c>
      <c r="L4" s="35" t="inlineStr">
        <is>
          <t>Actual Status (this session)</t>
        </is>
      </c>
      <c r="M4" s="35" t="inlineStr">
        <is>
          <t>Time Taken</t>
        </is>
      </c>
      <c r="N4" s="35" t="inlineStr">
        <is>
          <t>What Worked</t>
        </is>
      </c>
      <c r="O4" s="35" t="inlineStr">
        <is>
          <t>Challenges &amp; Deviations from Plan</t>
        </is>
      </c>
      <c r="P4" s="35" t="inlineStr">
        <is>
          <t>Built By</t>
        </is>
      </c>
      <c r="Q4" s="35" t="inlineStr">
        <is>
          <t>Actual Status (this session)</t>
        </is>
      </c>
      <c r="R4" s="35" t="inlineStr">
        <is>
          <t>Time Taken</t>
        </is>
      </c>
      <c r="S4" s="35" t="inlineStr">
        <is>
          <t>What Worked</t>
        </is>
      </c>
      <c r="T4" s="35" t="inlineStr">
        <is>
          <t>Challenges &amp; Deviations from Plan</t>
        </is>
      </c>
      <c r="U4" s="35" t="inlineStr">
        <is>
          <t>Built By</t>
        </is>
      </c>
    </row>
    <row r="5" ht="30" customHeight="1">
      <c r="A5" s="4" t="inlineStr">
        <is>
          <t>Z1</t>
        </is>
      </c>
      <c r="B5" s="4" t="inlineStr">
        <is>
          <t>0 Foundation</t>
        </is>
      </c>
      <c r="C5" s="5" t="inlineStr">
        <is>
          <t>E0 Brand &amp; Shell</t>
        </is>
      </c>
      <c r="D5" s="5" t="inlineStr">
        <is>
          <t>Schema migration</t>
        </is>
      </c>
      <c r="E5" s="5" t="inlineStr">
        <is>
          <t>app_user, session, item_version, item_vacancy, llm_cache and sync_log created idempotently. Seeded data survives; counts unchanged after rebuild.</t>
        </is>
      </c>
      <c r="F5" s="4" t="inlineStr">
        <is>
          <t>Must</t>
        </is>
      </c>
      <c r="G5" s="4" t="n">
        <v>8</v>
      </c>
      <c r="H5" s="4" t="inlineStr">
        <is>
          <t>R1</t>
        </is>
      </c>
      <c r="I5" s="4" t="inlineStr">
        <is>
          <t>Not started</t>
        </is>
      </c>
      <c r="J5" s="4" t="inlineStr"/>
      <c r="K5" s="5" t="inlineStr">
        <is>
          <t>Agent 0 only - nobody else touches db.py</t>
        </is>
      </c>
      <c r="L5" s="36" t="inlineStr">
        <is>
          <t>Built &amp; verified</t>
        </is>
      </c>
      <c r="M5" s="36" t="inlineStr">
        <is>
          <t>~45 min, single continuous session, no interruptions</t>
        </is>
      </c>
      <c r="N5" s="36" t="inlineStr">
        <is>
          <t>All six tables (app_user, session, item_version, item_vacancy, llm_cache, sync_log) landed as CREATE TABLE IF NOT EXISTS, confirmed empty post-migration. seed.py --rebuild re-run five times to prove non-destructiveness.</t>
        </is>
      </c>
      <c r="O5" s="36" t="inlineStr">
        <is>
          <t>Discovered seed.py itself is non-deterministic run-to-run on group/item counts (889/891 groups, 1947/1949 items) across identical reruns - pre-existing, not caused by this migration, but flagged loudly since it could be mistaken for data loss. Mediation: documented plainly in the handover for whoever owns core/matcher.py's dedup path rather than silently noting it.</t>
        </is>
      </c>
      <c r="P5" s="36" t="inlineStr">
        <is>
          <t>0 Foundation</t>
        </is>
      </c>
      <c r="Q5" s="36" t="inlineStr">
        <is>
          <t>Built &amp; verified</t>
        </is>
      </c>
      <c r="R5" s="36" t="inlineStr">
        <is>
          <t>~45 min, single continuous session, no interruptions</t>
        </is>
      </c>
      <c r="S5" s="36" t="inlineStr">
        <is>
          <t>All six tables (app_user, session, item_version, item_vacancy, llm_cache, sync_log) landed as CREATE TABLE IF NOT EXISTS, confirmed empty post-migration. seed.py --rebuild re-run five times to prove non-destructiveness.</t>
        </is>
      </c>
      <c r="T5" s="36" t="inlineStr">
        <is>
          <t>Discovered seed.py itself is non-deterministic run-to-run on group/item counts (889/891 groups, 1947/1949 items) across identical reruns - pre-existing, not caused by this migration, but flagged loudly since it could be mistaken for data loss. Mediation: documented plainly in the handover for whoever owns core/matcher.py's dedup path rather than silently noting it.</t>
        </is>
      </c>
      <c r="U5" s="36" t="inlineStr">
        <is>
          <t>0 Foundation</t>
        </is>
      </c>
    </row>
    <row r="6" ht="30" customHeight="1">
      <c r="A6" s="6" t="inlineStr">
        <is>
          <t>Z2</t>
        </is>
      </c>
      <c r="B6" s="6" t="inlineStr">
        <is>
          <t>0 Foundation</t>
        </is>
      </c>
      <c r="C6" s="7" t="inlineStr">
        <is>
          <t>E2 API v1</t>
        </is>
      </c>
      <c r="D6" s="7" t="inlineStr">
        <is>
          <t>Split server.py into route modules</t>
        </is>
      </c>
      <c r="E6" s="7" t="inlineStr">
        <is>
          <t>routes/ with public, auth, create, master, erp, meta. server.py becomes a thin dispatcher under 120 lines with the two response envelopes.</t>
        </is>
      </c>
      <c r="F6" s="6" t="inlineStr">
        <is>
          <t>Must</t>
        </is>
      </c>
      <c r="G6" s="6" t="n">
        <v>8</v>
      </c>
      <c r="H6" s="6" t="inlineStr">
        <is>
          <t>R1</t>
        </is>
      </c>
      <c r="I6" s="6" t="inlineStr">
        <is>
          <t>Not started</t>
        </is>
      </c>
      <c r="J6" s="6" t="inlineStr"/>
      <c r="K6" s="7" t="inlineStr">
        <is>
          <t>Stops 8 agents colliding in one file</t>
        </is>
      </c>
      <c r="L6" s="36" t="inlineStr">
        <is>
          <t>Built &amp; verified</t>
        </is>
      </c>
      <c r="M6" s="36" t="inlineStr">
        <is>
          <t>~45 min, single continuous session, no interruptions</t>
        </is>
      </c>
      <c r="N6" s="36" t="inlineStr">
        <is>
          <t>server.py cut from 515 lines to 91 by extracting HTTP plumbing into a new core/dispatch.py (router, multipart parsing, the request/response cycle) and envelopes into core/api.py - both new files, not anticipated by the original plan, but judged necessary to hit the sub-120-line target cleanly.</t>
        </is>
      </c>
      <c r="O6" s="36" t="inlineStr">
        <is>
          <t>The brief said 'under ~120 lines'; a first draft with everything inline came to ~265. Mediation: factored HTTP mechanics out into core/dispatch.py (plumbing, not a route) rather than accept a bloated dispatcher - got to 91 lines. Also had to decide, unprompted by CONTRACTS.md, which module owns ambiguous routes like /api/group/move* - documented every judgement call explicitly in the handover so A and F could override them.</t>
        </is>
      </c>
      <c r="P6" s="36" t="inlineStr">
        <is>
          <t>0 Foundation</t>
        </is>
      </c>
      <c r="Q6" s="36" t="inlineStr">
        <is>
          <t>Built &amp; verified</t>
        </is>
      </c>
      <c r="R6" s="36" t="inlineStr">
        <is>
          <t>~45 min, single continuous session, no interruptions</t>
        </is>
      </c>
      <c r="S6" s="36" t="inlineStr">
        <is>
          <t>server.py cut from 515 lines to 91 by extracting HTTP plumbing into a new core/dispatch.py (router, multipart parsing, the request/response cycle) and envelopes into core/api.py - both new files, not anticipated by the original plan, but judged necessary to hit the sub-120-line target cleanly.</t>
        </is>
      </c>
      <c r="T6" s="36" t="inlineStr">
        <is>
          <t>The brief said 'under ~120 lines'; a first draft with everything inline came to ~265. Mediation: factored HTTP mechanics out into core/dispatch.py (plumbing, not a route) rather than accept a bloated dispatcher - got to 91 lines. Also had to decide, unprompted by CONTRACTS.md, which module owns ambiguous routes like /api/group/move* - documented every judgement call explicitly in the handover so A and F could override them.</t>
        </is>
      </c>
      <c r="U6" s="36" t="inlineStr">
        <is>
          <t>0 Foundation</t>
        </is>
      </c>
    </row>
    <row r="7" ht="30" customHeight="1">
      <c r="A7" s="4" t="inlineStr">
        <is>
          <t>Z3</t>
        </is>
      </c>
      <c r="B7" s="4" t="inlineStr">
        <is>
          <t>0 Foundation</t>
        </is>
      </c>
      <c r="C7" s="5" t="inlineStr">
        <is>
          <t>E0 Brand &amp; Shell</t>
        </is>
      </c>
      <c r="D7" s="5" t="inlineStr">
        <is>
          <t>Settings store and ledger config</t>
        </is>
      </c>
      <c r="E7" s="5" t="inlineStr">
        <is>
          <t>db.get_setting / set_setting; config gains ledger.mode host|client. Secrets live in settings, never config.json.</t>
        </is>
      </c>
      <c r="F7" s="4" t="inlineStr">
        <is>
          <t>Must</t>
        </is>
      </c>
      <c r="G7" s="4" t="n">
        <v>3</v>
      </c>
      <c r="H7" s="4" t="inlineStr">
        <is>
          <t>R1</t>
        </is>
      </c>
      <c r="I7" s="4" t="inlineStr">
        <is>
          <t>Not started</t>
        </is>
      </c>
      <c r="J7" s="4" t="inlineStr">
        <is>
          <t>Z1</t>
        </is>
      </c>
      <c r="K7" s="5" t="inlineStr"/>
      <c r="L7" s="36" t="inlineStr">
        <is>
          <t>Built &amp; verified</t>
        </is>
      </c>
      <c r="M7" s="36" t="inlineStr">
        <is>
          <t>~45 min, single continuous session, no interruptions</t>
        </is>
      </c>
      <c r="N7" s="36" t="inlineStr">
        <is>
          <t>ledger config block added exactly as specified, defaulted to local_server since no VPS exists yet.</t>
        </is>
      </c>
      <c r="O7" s="36" t="inlineStr">
        <is>
          <t>None of note - this was the most straightforward story in the packet.</t>
        </is>
      </c>
      <c r="P7" s="36" t="inlineStr">
        <is>
          <t>0 Foundation</t>
        </is>
      </c>
      <c r="Q7" s="36" t="inlineStr">
        <is>
          <t>Built &amp; verified</t>
        </is>
      </c>
      <c r="R7" s="36" t="inlineStr">
        <is>
          <t>~45 min, single continuous session, no interruptions</t>
        </is>
      </c>
      <c r="S7" s="36" t="inlineStr">
        <is>
          <t>ledger config block added exactly as specified, defaulted to local_server since no VPS exists yet.</t>
        </is>
      </c>
      <c r="T7" s="36" t="inlineStr">
        <is>
          <t>None of note - this was the most straightforward story in the packet.</t>
        </is>
      </c>
      <c r="U7" s="36" t="inlineStr">
        <is>
          <t>0 Foundation</t>
        </is>
      </c>
    </row>
    <row r="8" ht="30" customHeight="1">
      <c r="A8" s="6" t="inlineStr">
        <is>
          <t>Z4</t>
        </is>
      </c>
      <c r="B8" s="6" t="inlineStr">
        <is>
          <t>0 Foundation</t>
        </is>
      </c>
      <c r="C8" s="7" t="inlineStr">
        <is>
          <t>E0 Brand &amp; Shell</t>
        </is>
      </c>
      <c r="D8" s="7" t="inlineStr">
        <is>
          <t>Theme file and logo asset</t>
        </is>
      </c>
      <c r="E8" s="7" t="inlineStr">
        <is>
          <t>web/theme.css with the MiniMines palette as variables, light variant, Barlow. minimines-logo.svg copied from ATT_Platform.</t>
        </is>
      </c>
      <c r="F8" s="6" t="inlineStr">
        <is>
          <t>Must</t>
        </is>
      </c>
      <c r="G8" s="6" t="n">
        <v>2</v>
      </c>
      <c r="H8" s="6" t="inlineStr">
        <is>
          <t>R1</t>
        </is>
      </c>
      <c r="I8" s="6" t="inlineStr">
        <is>
          <t>Not started</t>
        </is>
      </c>
      <c r="J8" s="6" t="inlineStr"/>
      <c r="K8" s="7" t="inlineStr">
        <is>
          <t>Agent A builds on these variables</t>
        </is>
      </c>
      <c r="L8" s="36" t="inlineStr">
        <is>
          <t>Built &amp; verified</t>
        </is>
      </c>
      <c r="M8" s="36" t="inlineStr">
        <is>
          <t>~45 min, single continuous session, no interruptions</t>
        </is>
      </c>
      <c r="N8" s="36" t="inlineStr">
        <is>
          <t>web/theme.css created as pure CSS variables (no rules, so it can't visually break anything on its own) and linked into index.html ahead of style.css; logo copied verbatim from ATT_Platform.</t>
        </is>
      </c>
      <c r="O8" s="36" t="inlineStr">
        <is>
          <t>None. Deliberately did not restyle any existing page, per the brief.</t>
        </is>
      </c>
      <c r="P8" s="36" t="inlineStr">
        <is>
          <t>0 Foundation</t>
        </is>
      </c>
      <c r="Q8" s="36" t="inlineStr">
        <is>
          <t>Built &amp; verified</t>
        </is>
      </c>
      <c r="R8" s="36" t="inlineStr">
        <is>
          <t>~45 min, single continuous session, no interruptions</t>
        </is>
      </c>
      <c r="S8" s="36" t="inlineStr">
        <is>
          <t>web/theme.css created as pure CSS variables (no rules, so it can't visually break anything on its own) and linked into index.html ahead of style.css; logo copied verbatim from ATT_Platform.</t>
        </is>
      </c>
      <c r="T8" s="36" t="inlineStr">
        <is>
          <t>None. Deliberately did not restyle any existing page, per the brief.</t>
        </is>
      </c>
      <c r="U8" s="36" t="inlineStr">
        <is>
          <t>0 Foundation</t>
        </is>
      </c>
    </row>
    <row r="9" ht="30" customHeight="1">
      <c r="A9" s="4" t="inlineStr">
        <is>
          <t>K1</t>
        </is>
      </c>
      <c r="B9" s="4" t="inlineStr">
        <is>
          <t>0 Foundation</t>
        </is>
      </c>
      <c r="C9" s="5" t="inlineStr">
        <is>
          <t>E0 Brand &amp; Shell</t>
        </is>
      </c>
      <c r="D9" s="5" t="inlineStr">
        <is>
          <t>Apply the MiniMines theme</t>
        </is>
      </c>
      <c r="E9" s="5" t="inlineStr">
        <is>
          <t>Palette from m-mines.com (#001b2e navy, #04aed1 teal, #3b6e93 steel), Barlow typeface, minimines-logo.svg in the header. Light and dark both legible.</t>
        </is>
      </c>
      <c r="F9" s="4" t="inlineStr">
        <is>
          <t>Must</t>
        </is>
      </c>
      <c r="G9" s="4" t="n">
        <v>5</v>
      </c>
      <c r="H9" s="4" t="inlineStr">
        <is>
          <t>R1</t>
        </is>
      </c>
      <c r="I9" s="4" t="inlineStr">
        <is>
          <t>Not started</t>
        </is>
      </c>
      <c r="J9" s="4" t="inlineStr"/>
      <c r="K9" s="5" t="inlineStr">
        <is>
          <t>Reused from ATT_Platform, not reinvented</t>
        </is>
      </c>
      <c r="L9" s="36" t="inlineStr">
        <is>
          <t>Built &amp; verified</t>
        </is>
      </c>
      <c r="M9" s="36" t="inlineStr">
        <is>
          <t>~45 min, single continuous session, no interruptions</t>
        </is>
      </c>
      <c r="N9" s="36" t="inlineStr">
        <is>
          <t>Same palette/typeface work as Z4 - this row and Z4 describe the same deliverable from two different planning passes.</t>
        </is>
      </c>
      <c r="O9" s="36" t="inlineStr">
        <is>
          <t>None beyond what's noted under Z4.</t>
        </is>
      </c>
      <c r="P9" s="36" t="inlineStr">
        <is>
          <t>0 Foundation</t>
        </is>
      </c>
      <c r="Q9" s="36" t="inlineStr">
        <is>
          <t>Built &amp; verified</t>
        </is>
      </c>
      <c r="R9" s="36" t="inlineStr">
        <is>
          <t>~45 min, single continuous session, no interruptions</t>
        </is>
      </c>
      <c r="S9" s="36" t="inlineStr">
        <is>
          <t>Same palette/typeface work as Z4 - this row and Z4 describe the same deliverable from two different planning passes.</t>
        </is>
      </c>
      <c r="T9" s="36" t="inlineStr">
        <is>
          <t>None beyond what's noted under Z4.</t>
        </is>
      </c>
      <c r="U9" s="36" t="inlineStr">
        <is>
          <t>0 Foundation</t>
        </is>
      </c>
    </row>
    <row r="10" ht="30" customHeight="1">
      <c r="A10" s="6" t="inlineStr">
        <is>
          <t>K2</t>
        </is>
      </c>
      <c r="B10" s="6" t="inlineStr">
        <is>
          <t>A Public</t>
        </is>
      </c>
      <c r="C10" s="7" t="inlineStr">
        <is>
          <t>E0 Brand &amp; Shell</t>
        </is>
      </c>
      <c r="D10" s="7" t="inlineStr">
        <is>
          <t>Remove the stats block</t>
        </is>
      </c>
      <c r="E10" s="7" t="inlineStr">
        <is>
          <t>The counts panel in the bottom-left corner is gone. Nothing shifts or leaves a gap.</t>
        </is>
      </c>
      <c r="F10" s="6" t="inlineStr">
        <is>
          <t>Must</t>
        </is>
      </c>
      <c r="G10" s="6" t="n">
        <v>1</v>
      </c>
      <c r="H10" s="6" t="inlineStr">
        <is>
          <t>R1</t>
        </is>
      </c>
      <c r="I10" s="6" t="inlineStr">
        <is>
          <t>Not started</t>
        </is>
      </c>
      <c r="J10" s="6" t="inlineStr">
        <is>
          <t>K1</t>
        </is>
      </c>
      <c r="K10" s="7" t="inlineStr">
        <is>
          <t>Your instruction</t>
        </is>
      </c>
      <c r="L10" s="36" t="inlineStr">
        <is>
          <t>Built &amp; verified</t>
        </is>
      </c>
      <c r="M10" s="36" t="inlineStr">
        <is>
          <t>Two segments totalling ~62 tool calls (162,610 tokens) across an initial 600s stall and one transient API disconnect, both recovered.</t>
        </is>
      </c>
      <c r="N10" s="36" t="inlineStr">
        <is>
          <t>The three .stat divs and their population code removed from index.html/app.js; .railfoot's margin-top:auto keeps the who/ERP chip pinned with no visible gap.</t>
        </is>
      </c>
      <c r="O10" s="36" t="inlineStr">
        <is>
          <t>None - verified with getComputedStyle, not just eyeballed.</t>
        </is>
      </c>
      <c r="P10" s="36" t="inlineStr">
        <is>
          <t>A Public</t>
        </is>
      </c>
      <c r="Q10" s="36" t="inlineStr">
        <is>
          <t>Built &amp; verified</t>
        </is>
      </c>
      <c r="R10" s="36" t="inlineStr">
        <is>
          <t>Two segments totalling ~62 tool calls (162,610 tokens) across an initial 600s stall and one transient API disconnect, both recovered.</t>
        </is>
      </c>
      <c r="S10" s="36" t="inlineStr">
        <is>
          <t>The three .stat divs and their population code removed from index.html/app.js; .railfoot's margin-top:auto keeps the who/ERP chip pinned with no visible gap.</t>
        </is>
      </c>
      <c r="T10" s="36" t="inlineStr">
        <is>
          <t>None - verified with getComputedStyle, not just eyeballed.</t>
        </is>
      </c>
      <c r="U10" s="36" t="inlineStr">
        <is>
          <t>A Public</t>
        </is>
      </c>
    </row>
    <row r="11" ht="30" customHeight="1">
      <c r="A11" s="4" t="inlineStr">
        <is>
          <t>A1</t>
        </is>
      </c>
      <c r="B11" s="4" t="inlineStr">
        <is>
          <t>A Public</t>
        </is>
      </c>
      <c r="C11" s="5" t="inlineStr">
        <is>
          <t>E1 Access &amp; Identity</t>
        </is>
      </c>
      <c r="D11" s="5" t="inlineStr">
        <is>
          <t>Split landing page</t>
        </is>
      </c>
      <c r="E11" s="5" t="inlineStr">
        <is>
          <t>One page, two halves: Decoder left, Directory right, Log in top-right. No credentials needed to use either half.</t>
        </is>
      </c>
      <c r="F11" s="4" t="inlineStr">
        <is>
          <t>Must</t>
        </is>
      </c>
      <c r="G11" s="4" t="n">
        <v>8</v>
      </c>
      <c r="H11" s="4" t="inlineStr">
        <is>
          <t>R1</t>
        </is>
      </c>
      <c r="I11" s="4" t="inlineStr">
        <is>
          <t>Not started</t>
        </is>
      </c>
      <c r="J11" s="4" t="inlineStr">
        <is>
          <t>K1</t>
        </is>
      </c>
      <c r="K11" s="5" t="inlineStr">
        <is>
          <t>The main page for everyone</t>
        </is>
      </c>
      <c r="L11" s="36" t="inlineStr">
        <is>
          <t>Built &amp; verified</t>
        </is>
      </c>
      <c r="M11" s="36" t="inlineStr">
        <is>
          <t>Two segments totalling ~62 tool calls (162,610 tokens) across an initial 600s stall and one transient API disconnect, both recovered.</t>
        </is>
      </c>
      <c r="N11" s="36" t="inlineStr">
        <is>
          <t>Split landing page built as new web/public.html/js/css; responsive stack under 860px verified programmatically at innerWidth 767.</t>
        </is>
      </c>
      <c r="O11" s="36" t="inlineStr">
        <is>
          <t>None of note.</t>
        </is>
      </c>
      <c r="P11" s="36" t="inlineStr">
        <is>
          <t>A Public</t>
        </is>
      </c>
      <c r="Q11" s="36" t="inlineStr">
        <is>
          <t>Built &amp; verified</t>
        </is>
      </c>
      <c r="R11" s="36" t="inlineStr">
        <is>
          <t>Two segments totalling ~62 tool calls (162,610 tokens) across an initial 600s stall and one transient API disconnect, both recovered.</t>
        </is>
      </c>
      <c r="S11" s="36" t="inlineStr">
        <is>
          <t>Split landing page built as new web/public.html/js/css; responsive stack under 860px verified programmatically at innerWidth 767.</t>
        </is>
      </c>
      <c r="T11" s="36" t="inlineStr">
        <is>
          <t>None of note.</t>
        </is>
      </c>
      <c r="U11" s="36" t="inlineStr">
        <is>
          <t>A Public</t>
        </is>
      </c>
    </row>
    <row r="12" ht="30" customHeight="1">
      <c r="A12" s="6" t="inlineStr">
        <is>
          <t>A2</t>
        </is>
      </c>
      <c r="B12" s="6" t="inlineStr">
        <is>
          <t>A Public</t>
        </is>
      </c>
      <c r="C12" s="7" t="inlineStr">
        <is>
          <t>E1 Access &amp; Identity</t>
        </is>
      </c>
      <c r="D12" s="7" t="inlineStr">
        <is>
          <t>Decoder half</t>
        </is>
      </c>
      <c r="E12" s="7" t="inlineStr">
        <is>
          <t>Paste any code, get head, sub-head, group, every spec with its per-group label, vendor. 00 reads 'not applicable'. Malformed input explains why.</t>
        </is>
      </c>
      <c r="F12" s="6" t="inlineStr">
        <is>
          <t>Must</t>
        </is>
      </c>
      <c r="G12" s="6" t="n">
        <v>3</v>
      </c>
      <c r="H12" s="6" t="inlineStr">
        <is>
          <t>R1</t>
        </is>
      </c>
      <c r="I12" s="6" t="inlineStr">
        <is>
          <t>Not started</t>
        </is>
      </c>
      <c r="J12" s="6" t="inlineStr">
        <is>
          <t>A1</t>
        </is>
      </c>
      <c r="K12" s="7" t="inlineStr"/>
      <c r="L12" s="36" t="inlineStr">
        <is>
          <t>Built &amp; verified</t>
        </is>
      </c>
      <c r="M12" s="36" t="inlineStr">
        <is>
          <t>Two segments totalling ~62 tool calls (162,610 tokens) across an initial 600s stall and one transient API disconnect, both recovered.</t>
        </is>
      </c>
      <c r="N12" s="36" t="inlineStr">
        <is>
          <t>Decoder half verified against the brief's exact example (RMBS0010206100007) and against malformed/well-formed-but-unissued/unknown-group edge cases, all in plain English, none as raw error codes.</t>
        </is>
      </c>
      <c r="O12" s="36" t="inlineStr">
        <is>
          <t>None - matched the acceptance criteria precisely.</t>
        </is>
      </c>
      <c r="P12" s="36" t="inlineStr">
        <is>
          <t>A Public</t>
        </is>
      </c>
      <c r="Q12" s="36" t="inlineStr">
        <is>
          <t>Built &amp; verified</t>
        </is>
      </c>
      <c r="R12" s="36" t="inlineStr">
        <is>
          <t>Two segments totalling ~62 tool calls (162,610 tokens) across an initial 600s stall and one transient API disconnect, both recovered.</t>
        </is>
      </c>
      <c r="S12" s="36" t="inlineStr">
        <is>
          <t>Decoder half verified against the brief's exact example (RMBS0010206100007) and against malformed/well-formed-but-unissued/unknown-group edge cases, all in plain English, none as raw error codes.</t>
        </is>
      </c>
      <c r="T12" s="36" t="inlineStr">
        <is>
          <t>None - matched the acceptance criteria precisely.</t>
        </is>
      </c>
      <c r="U12" s="36" t="inlineStr">
        <is>
          <t>A Public</t>
        </is>
      </c>
    </row>
    <row r="13" ht="30" customHeight="1">
      <c r="A13" s="4" t="inlineStr">
        <is>
          <t>A4</t>
        </is>
      </c>
      <c r="B13" s="4" t="inlineStr">
        <is>
          <t>A Public</t>
        </is>
      </c>
      <c r="C13" s="5" t="inlineStr">
        <is>
          <t>E1 Access &amp; Identity</t>
        </is>
      </c>
      <c r="D13" s="5" t="inlineStr">
        <is>
          <t>Directory half</t>
        </is>
      </c>
      <c r="E13" s="5" t="inlineStr">
        <is>
          <t>Search 1,947 items by code, name or description. Row opens a read-only detail card.</t>
        </is>
      </c>
      <c r="F13" s="4" t="inlineStr">
        <is>
          <t>Must</t>
        </is>
      </c>
      <c r="G13" s="4" t="n">
        <v>5</v>
      </c>
      <c r="H13" s="4" t="inlineStr">
        <is>
          <t>R1</t>
        </is>
      </c>
      <c r="I13" s="4" t="inlineStr">
        <is>
          <t>Not started</t>
        </is>
      </c>
      <c r="J13" s="4" t="inlineStr">
        <is>
          <t>A1</t>
        </is>
      </c>
      <c r="K13" s="5" t="inlineStr"/>
      <c r="L13" s="36" t="inlineStr">
        <is>
          <t>Built &amp; verified</t>
        </is>
      </c>
      <c r="M13" s="36" t="inlineStr">
        <is>
          <t>Two segments totalling ~62 tool calls (162,610 tokens) across an initial 600s stall and one transient API disconnect, both recovered.</t>
        </is>
      </c>
      <c r="N13" s="36" t="inlineStr">
        <is>
          <t>Directory search verified for odonil (7 hits), battery (47 hits) and, notably, mseal (1 hit) - the last one only works because a dedicated, smaller normaliser squashes punctuation, since core.matcher.normalize() (tuned for fuzzy matching) keeps the hyphen in 'M-Seal' and would have missed it.</t>
        </is>
      </c>
      <c r="O13" s="36" t="inlineStr">
        <is>
          <t>Deviation: built a second, deliberately narrow text normaliser (_norm() in routes/public.py) rather than reuse core.matcher.normalize(), because that function's fuzzy-matching tuning doesn't serve a plain search box. Flagged in the handover as two different notions of 'the same text' now existing in the codebase - worth unifying later, not done here since it wasn't broken for either use case.</t>
        </is>
      </c>
      <c r="P13" s="36" t="inlineStr">
        <is>
          <t>A Public</t>
        </is>
      </c>
      <c r="Q13" s="36" t="inlineStr">
        <is>
          <t>Built &amp; verified</t>
        </is>
      </c>
      <c r="R13" s="36" t="inlineStr">
        <is>
          <t>Two segments totalling ~62 tool calls (162,610 tokens) across an initial 600s stall and one transient API disconnect, both recovered.</t>
        </is>
      </c>
      <c r="S13" s="36" t="inlineStr">
        <is>
          <t>Directory search verified for odonil (7 hits), battery (47 hits) and, notably, mseal (1 hit) - the last one only works because a dedicated, smaller normaliser squashes punctuation, since core.matcher.normalize() (tuned for fuzzy matching) keeps the hyphen in 'M-Seal' and would have missed it.</t>
        </is>
      </c>
      <c r="T13" s="36" t="inlineStr">
        <is>
          <t>Deviation: built a second, deliberately narrow text normaliser (_norm() in routes/public.py) rather than reuse core.matcher.normalize(), because that function's fuzzy-matching tuning doesn't serve a plain search box. Flagged in the handover as two different notions of 'the same text' now existing in the codebase - worth unifying later, not done here since it wasn't broken for either use case.</t>
        </is>
      </c>
      <c r="U13" s="36" t="inlineStr">
        <is>
          <t>A Public</t>
        </is>
      </c>
    </row>
    <row r="14" ht="30" customHeight="1">
      <c r="A14" s="6" t="inlineStr">
        <is>
          <t>A3</t>
        </is>
      </c>
      <c r="B14" s="6" t="inlineStr">
        <is>
          <t>A Public</t>
        </is>
      </c>
      <c r="C14" s="7" t="inlineStr">
        <is>
          <t>E1 Access &amp; Identity</t>
        </is>
      </c>
      <c r="D14" s="7" t="inlineStr">
        <is>
          <t>Dictionary browse</t>
        </is>
      </c>
      <c r="E14" s="7" t="inlineStr">
        <is>
          <t>Search 889 groups; open one to see its spec slots and values. Reachable from the directory half.</t>
        </is>
      </c>
      <c r="F14" s="6" t="inlineStr">
        <is>
          <t>Must</t>
        </is>
      </c>
      <c r="G14" s="6" t="n">
        <v>3</v>
      </c>
      <c r="H14" s="6" t="inlineStr">
        <is>
          <t>R1</t>
        </is>
      </c>
      <c r="I14" s="6" t="inlineStr">
        <is>
          <t>Not started</t>
        </is>
      </c>
      <c r="J14" s="6" t="inlineStr">
        <is>
          <t>A4</t>
        </is>
      </c>
      <c r="K14" s="7" t="inlineStr"/>
      <c r="L14" s="36" t="inlineStr">
        <is>
          <t>Built &amp; verified</t>
        </is>
      </c>
      <c r="M14" s="36" t="inlineStr">
        <is>
          <t>Two segments totalling ~62 tool calls (162,610 tokens) across an initial 600s stall and one transient API disconnect, both recovered.</t>
        </is>
      </c>
      <c r="N14" s="36" t="inlineStr">
        <is>
          <t>Dictionary browse built as tabs on the same directory panel; verified per-group spec labels differ correctly for the same slot number (Air Freshener slot 1 'Type' vs Battery Pack slot 1 'Form Factor').</t>
        </is>
      </c>
      <c r="O14" s="36" t="inlineStr">
        <is>
          <t>None beyond the shared normaliser note above.</t>
        </is>
      </c>
      <c r="P14" s="36" t="inlineStr">
        <is>
          <t>A Public</t>
        </is>
      </c>
      <c r="Q14" s="36" t="inlineStr">
        <is>
          <t>Built &amp; verified</t>
        </is>
      </c>
      <c r="R14" s="36" t="inlineStr">
        <is>
          <t>Two segments totalling ~62 tool calls (162,610 tokens) across an initial 600s stall and one transient API disconnect, both recovered.</t>
        </is>
      </c>
      <c r="S14" s="36" t="inlineStr">
        <is>
          <t>Dictionary browse built as tabs on the same directory panel; verified per-group spec labels differ correctly for the same slot number (Air Freshener slot 1 'Type' vs Battery Pack slot 1 'Form Factor').</t>
        </is>
      </c>
      <c r="T14" s="36" t="inlineStr">
        <is>
          <t>None beyond the shared normaliser note above.</t>
        </is>
      </c>
      <c r="U14" s="36" t="inlineStr">
        <is>
          <t>A Public</t>
        </is>
      </c>
    </row>
    <row r="15" ht="30" customHeight="1">
      <c r="A15" s="4" t="inlineStr">
        <is>
          <t>A8</t>
        </is>
      </c>
      <c r="B15" s="4" t="inlineStr">
        <is>
          <t>B Auth</t>
        </is>
      </c>
      <c r="C15" s="5" t="inlineStr">
        <is>
          <t>E1 Access &amp; Identity</t>
        </is>
      </c>
      <c r="D15" s="5" t="inlineStr">
        <is>
          <t>Server-side write protection</t>
        </is>
      </c>
      <c r="E15" s="5" t="inlineStr">
        <is>
          <t>Every mutating endpoint returns 401 to an unauthenticated caller invoked directly, not merely hidden in the interface.</t>
        </is>
      </c>
      <c r="F15" s="4" t="inlineStr">
        <is>
          <t>Must</t>
        </is>
      </c>
      <c r="G15" s="4" t="n">
        <v>3</v>
      </c>
      <c r="H15" s="4" t="inlineStr">
        <is>
          <t>R1</t>
        </is>
      </c>
      <c r="I15" s="4" t="inlineStr">
        <is>
          <t>Not started</t>
        </is>
      </c>
      <c r="J15" s="4" t="inlineStr"/>
      <c r="K15" s="5" t="inlineStr">
        <is>
          <t>The actual boundary</t>
        </is>
      </c>
      <c r="L15" s="36" t="inlineStr">
        <is>
          <t>Built &amp; verified</t>
        </is>
      </c>
      <c r="M15" s="36" t="inlineStr">
        <is>
          <t>Two sessions totalling ~132 tool calls (376,028 tokens): the main build, then a second targeted session for the Secure-cookie fix flagged by Agent F.</t>
        </is>
      </c>
      <c r="N15" s="36" t="inlineStr">
        <is>
          <t>require_session/require_admin raise a typed ApiError caught centrally by the dispatcher; verified live with a bare curl call, no cookie, against a mutating endpoint - 401, not a hidden button.</t>
        </is>
      </c>
      <c r="O15" s="36" t="inlineStr">
        <is>
          <t>None - this was treated as the single highest-priority story in the whole packet and tested accordingly.</t>
        </is>
      </c>
      <c r="P15" s="36" t="inlineStr">
        <is>
          <t>B Auth</t>
        </is>
      </c>
      <c r="Q15" s="36" t="inlineStr">
        <is>
          <t>Built &amp; verified</t>
        </is>
      </c>
      <c r="R15" s="36" t="inlineStr">
        <is>
          <t>Two sessions totalling ~132 tool calls (376,028 tokens): the main build, then a second targeted session for the Secure-cookie fix flagged by Agent F.</t>
        </is>
      </c>
      <c r="S15" s="36" t="inlineStr">
        <is>
          <t>require_session/require_admin raise a typed ApiError caught centrally by the dispatcher; verified live with a bare curl call, no cookie, against a mutating endpoint - 401, not a hidden button.</t>
        </is>
      </c>
      <c r="T15" s="36" t="inlineStr">
        <is>
          <t>None - this was treated as the single highest-priority story in the whole packet and tested accordingly.</t>
        </is>
      </c>
      <c r="U15" s="36" t="inlineStr">
        <is>
          <t>B Auth</t>
        </is>
      </c>
    </row>
    <row r="16" ht="30" customHeight="1">
      <c r="A16" s="6" t="inlineStr">
        <is>
          <t>A5</t>
        </is>
      </c>
      <c r="B16" s="6" t="inlineStr">
        <is>
          <t>B Auth</t>
        </is>
      </c>
      <c r="C16" s="7" t="inlineStr">
        <is>
          <t>E1 Access &amp; Identity</t>
        </is>
      </c>
      <c r="D16" s="7" t="inlineStr">
        <is>
          <t>Login</t>
        </is>
      </c>
      <c r="E16" s="7" t="inlineStr">
        <is>
          <t>Username and password against the user table, scrypt hashed. Bad credentials give one generic message.</t>
        </is>
      </c>
      <c r="F16" s="6" t="inlineStr">
        <is>
          <t>Must</t>
        </is>
      </c>
      <c r="G16" s="6" t="n">
        <v>5</v>
      </c>
      <c r="H16" s="6" t="inlineStr">
        <is>
          <t>R2</t>
        </is>
      </c>
      <c r="I16" s="6" t="inlineStr">
        <is>
          <t>Not started</t>
        </is>
      </c>
      <c r="J16" s="6" t="inlineStr">
        <is>
          <t>A8</t>
        </is>
      </c>
      <c r="K16" s="7" t="inlineStr">
        <is>
          <t>Simple by instruction</t>
        </is>
      </c>
      <c r="L16" s="36" t="inlineStr">
        <is>
          <t>Built &amp; verified</t>
        </is>
      </c>
      <c r="M16" s="36" t="inlineStr">
        <is>
          <t>Two sessions totalling ~132 tool calls (376,028 tokens): the main build, then a second targeted session for the Secure-cookie fix flagged by Agent F.</t>
        </is>
      </c>
      <c r="N16" s="36" t="inlineStr">
        <is>
          <t>scrypt + per-user salt, hmac.compare_digest comparison, byte-identical response for a wrong username vs a wrong password (verified with curl against both cases), and a dummy hash computed even for an unknown username so there's no timing tell either.</t>
        </is>
      </c>
      <c r="O16" s="36" t="inlineStr">
        <is>
          <t>None of note.</t>
        </is>
      </c>
      <c r="P16" s="36" t="inlineStr">
        <is>
          <t>B Auth</t>
        </is>
      </c>
      <c r="Q16" s="36" t="inlineStr">
        <is>
          <t>Built &amp; verified</t>
        </is>
      </c>
      <c r="R16" s="36" t="inlineStr">
        <is>
          <t>Two sessions totalling ~132 tool calls (376,028 tokens): the main build, then a second targeted session for the Secure-cookie fix flagged by Agent F.</t>
        </is>
      </c>
      <c r="S16" s="36" t="inlineStr">
        <is>
          <t>scrypt + per-user salt, hmac.compare_digest comparison, byte-identical response for a wrong username vs a wrong password (verified with curl against both cases), and a dummy hash computed even for an unknown username so there's no timing tell either.</t>
        </is>
      </c>
      <c r="T16" s="36" t="inlineStr">
        <is>
          <t>None of note.</t>
        </is>
      </c>
      <c r="U16" s="36" t="inlineStr">
        <is>
          <t>B Auth</t>
        </is>
      </c>
    </row>
    <row r="17" ht="30" customHeight="1">
      <c r="A17" s="4" t="inlineStr">
        <is>
          <t>A6</t>
        </is>
      </c>
      <c r="B17" s="4" t="inlineStr">
        <is>
          <t>B Auth</t>
        </is>
      </c>
      <c r="C17" s="5" t="inlineStr">
        <is>
          <t>E1 Access &amp; Identity</t>
        </is>
      </c>
      <c r="D17" s="5" t="inlineStr">
        <is>
          <t>Session handling</t>
        </is>
      </c>
      <c r="E17" s="5" t="inlineStr">
        <is>
          <t>HMAC-signed HttpOnly cookie, 12h expiry, logout clears it. Expiry returns to the landing page, never a blank screen.</t>
        </is>
      </c>
      <c r="F17" s="4" t="inlineStr">
        <is>
          <t>Must</t>
        </is>
      </c>
      <c r="G17" s="4" t="n">
        <v>3</v>
      </c>
      <c r="H17" s="4" t="inlineStr">
        <is>
          <t>R2</t>
        </is>
      </c>
      <c r="I17" s="4" t="inlineStr">
        <is>
          <t>Not started</t>
        </is>
      </c>
      <c r="J17" s="4" t="inlineStr">
        <is>
          <t>A5</t>
        </is>
      </c>
      <c r="K17" s="5" t="inlineStr"/>
      <c r="L17" s="36" t="inlineStr">
        <is>
          <t>Built &amp; verified (design reversed)</t>
        </is>
      </c>
      <c r="M17" s="36" t="inlineStr">
        <is>
          <t>Two sessions totalling ~132 tool calls (376,028 tokens): the main build, then a second targeted session for the Secure-cookie fix flagged by Agent F.</t>
        </is>
      </c>
      <c r="N17" s="36" t="inlineStr">
        <is>
          <t>Sessions built as HttpOnly + SameSite=Strict + Secure cookies as the plan's acceptance criteria describes ('HMAC-signed HttpOnly cookie'), using a random token whose hash (not the token itself) is stored server-side.</t>
        </is>
      </c>
      <c r="O17" s="36" t="inlineStr">
        <is>
          <t>Real deviation, caught late: Secure was set unconditionally, which a real browser will never send back over the plain-HTTP local server that is the app's actual default deployment path - nobody could stay logged in against the app as it runs today. Agent F caught this in live testing; mediated by adding a config.json 'tls' flag (default false) that gates the Secure attribute, verified with both curl and a real Chrome round-trip including a fresh page navigation.</t>
        </is>
      </c>
      <c r="P17" s="36" t="inlineStr">
        <is>
          <t>B Auth</t>
        </is>
      </c>
      <c r="Q17" s="36" t="inlineStr">
        <is>
          <t>Built &amp; verified (design reversed)</t>
        </is>
      </c>
      <c r="R17" s="36" t="inlineStr">
        <is>
          <t>Two sessions totalling ~132 tool calls (376,028 tokens): the main build, then a second targeted session for the Secure-cookie fix flagged by Agent F.</t>
        </is>
      </c>
      <c r="S17" s="36" t="inlineStr">
        <is>
          <t>Sessions built as HttpOnly + SameSite=Strict + Secure cookies as the plan's acceptance criteria describes ('HMAC-signed HttpOnly cookie'), using a random token whose hash (not the token itself) is stored server-side.</t>
        </is>
      </c>
      <c r="T17" s="36" t="inlineStr">
        <is>
          <t>Real deviation, caught late: Secure was set unconditionally, which a real browser will never send back over the plain-HTTP local server that is the app's actual default deployment path - nobody could stay logged in against the app as it runs today. Agent F caught this in live testing; mediated by adding a config.json 'tls' flag (default false) that gates the Secure attribute, verified with both curl and a real Chrome round-trip including a fresh page navigation.</t>
        </is>
      </c>
      <c r="U17" s="36" t="inlineStr">
        <is>
          <t>B Auth</t>
        </is>
      </c>
    </row>
    <row r="18" ht="30" customHeight="1">
      <c r="A18" s="6" t="inlineStr">
        <is>
          <t>A9</t>
        </is>
      </c>
      <c r="B18" s="6" t="inlineStr">
        <is>
          <t>B Auth</t>
        </is>
      </c>
      <c r="C18" s="7" t="inlineStr">
        <is>
          <t>E1 Access &amp; Identity</t>
        </is>
      </c>
      <c r="D18" s="7" t="inlineStr">
        <is>
          <t>Attribution from session</t>
        </is>
      </c>
      <c r="E18" s="7" t="inlineStr">
        <is>
          <t>created_by comes from the session. The forgeable X-User header is deleted from the codebase.</t>
        </is>
      </c>
      <c r="F18" s="6" t="inlineStr">
        <is>
          <t>Must</t>
        </is>
      </c>
      <c r="G18" s="6" t="n">
        <v>2</v>
      </c>
      <c r="H18" s="6" t="inlineStr">
        <is>
          <t>R2</t>
        </is>
      </c>
      <c r="I18" s="6" t="inlineStr">
        <is>
          <t>Not started</t>
        </is>
      </c>
      <c r="J18" s="6" t="inlineStr">
        <is>
          <t>A6</t>
        </is>
      </c>
      <c r="K18" s="7" t="inlineStr">
        <is>
          <t>Closes a real hole</t>
        </is>
      </c>
      <c r="L18" s="36" t="inlineStr">
        <is>
          <t>Built &amp; verified</t>
        </is>
      </c>
      <c r="M18" s="36" t="inlineStr">
        <is>
          <t>Two sessions totalling ~132 tool calls (376,028 tokens): the main build, then a second targeted session for the Secure-cookie fix flagged by Agent F.</t>
        </is>
      </c>
      <c r="N18" s="36" t="inlineStr">
        <is>
          <t>grep -rn X-User returns only two explanatory comments, no functional usage anywhere. Attribution now flows from the session, resolved once per request inside core/dispatch.py's existing lock.</t>
        </is>
      </c>
      <c r="O18" s="36" t="inlineStr">
        <is>
          <t>Deviation: fixing this required editing core/dispatch.py, which Agent 0 (not Agent B) owns. Mediated by doing the narrowest possible change (one block, inside the existing lock region) and being explicit about it in the handover rather than silently reaching into another agent's file - exactly the CONTRACTS.md house rule about not silently editing someone else's file.</t>
        </is>
      </c>
      <c r="P18" s="36" t="inlineStr">
        <is>
          <t>B Auth</t>
        </is>
      </c>
      <c r="Q18" s="36" t="inlineStr">
        <is>
          <t>Built &amp; verified</t>
        </is>
      </c>
      <c r="R18" s="36" t="inlineStr">
        <is>
          <t>Two sessions totalling ~132 tool calls (376,028 tokens): the main build, then a second targeted session for the Secure-cookie fix flagged by Agent F.</t>
        </is>
      </c>
      <c r="S18" s="36" t="inlineStr">
        <is>
          <t>grep -rn X-User returns only two explanatory comments, no functional usage anywhere. Attribution now flows from the session, resolved once per request inside core/dispatch.py's existing lock.</t>
        </is>
      </c>
      <c r="T18" s="36" t="inlineStr">
        <is>
          <t>Deviation: fixing this required editing core/dispatch.py, which Agent 0 (not Agent B) owns. Mediated by doing the narrowest possible change (one block, inside the existing lock region) and being explicit about it in the handover rather than silently reaching into another agent's file - exactly the CONTRACTS.md house rule about not silently editing someone else's file.</t>
        </is>
      </c>
      <c r="U18" s="36" t="inlineStr">
        <is>
          <t>B Auth</t>
        </is>
      </c>
    </row>
    <row r="19" ht="30" customHeight="1">
      <c r="A19" s="4" t="inlineStr">
        <is>
          <t>A7</t>
        </is>
      </c>
      <c r="B19" s="4" t="inlineStr">
        <is>
          <t>B Auth</t>
        </is>
      </c>
      <c r="C19" s="5" t="inlineStr">
        <is>
          <t>E1 Access &amp; Identity</t>
        </is>
      </c>
      <c r="D19" s="5" t="inlineStr">
        <is>
          <t>Creator shell</t>
        </is>
      </c>
      <c r="E19" s="5" t="inlineStr">
        <is>
          <t>After login: Create, Item master, Activity. The landing page stays reachable while logged in.</t>
        </is>
      </c>
      <c r="F19" s="4" t="inlineStr">
        <is>
          <t>Must</t>
        </is>
      </c>
      <c r="G19" s="4" t="n">
        <v>3</v>
      </c>
      <c r="H19" s="4" t="inlineStr">
        <is>
          <t>R2</t>
        </is>
      </c>
      <c r="I19" s="4" t="inlineStr">
        <is>
          <t>Not started</t>
        </is>
      </c>
      <c r="J19" s="4" t="inlineStr">
        <is>
          <t>A6</t>
        </is>
      </c>
      <c r="K19" s="5" t="inlineStr"/>
      <c r="L19" s="36" t="inlineStr">
        <is>
          <t>Built &amp; verified</t>
        </is>
      </c>
      <c r="M19" s="36" t="inlineStr">
        <is>
          <t>Two sessions totalling ~132 tool calls (376,028 tokens): the main build, then a second targeted session for the Secure-cookie fix flagged by Agent F.</t>
        </is>
      </c>
      <c r="N19" s="36" t="inlineStr">
        <is>
          <t>Post-login shell reachable via the existing app.js nav; landing page stays reachable while logged in (nothing in the public routes checks a session).</t>
        </is>
      </c>
      <c r="O19" s="36" t="inlineStr">
        <is>
          <t>None beyond what's already covered under A9/A6's app.js changes.</t>
        </is>
      </c>
      <c r="P19" s="36" t="inlineStr">
        <is>
          <t>B Auth</t>
        </is>
      </c>
      <c r="Q19" s="36" t="inlineStr">
        <is>
          <t>Built &amp; verified</t>
        </is>
      </c>
      <c r="R19" s="36" t="inlineStr">
        <is>
          <t>Two sessions totalling ~132 tool calls (376,028 tokens): the main build, then a second targeted session for the Secure-cookie fix flagged by Agent F.</t>
        </is>
      </c>
      <c r="S19" s="36" t="inlineStr">
        <is>
          <t>Post-login shell reachable via the existing app.js nav; landing page stays reachable while logged in (nothing in the public routes checks a session).</t>
        </is>
      </c>
      <c r="T19" s="36" t="inlineStr">
        <is>
          <t>None beyond what's already covered under A9/A6's app.js changes.</t>
        </is>
      </c>
      <c r="U19" s="36" t="inlineStr">
        <is>
          <t>B Auth</t>
        </is>
      </c>
    </row>
    <row r="20" ht="30" customHeight="1">
      <c r="A20" s="6" t="inlineStr">
        <is>
          <t>A10</t>
        </is>
      </c>
      <c r="B20" s="6" t="inlineStr">
        <is>
          <t>B Auth</t>
        </is>
      </c>
      <c r="C20" s="7" t="inlineStr">
        <is>
          <t>E1 Access &amp; Identity</t>
        </is>
      </c>
      <c r="D20" s="7" t="inlineStr">
        <is>
          <t>User management</t>
        </is>
      </c>
      <c r="E20" s="7" t="inlineStr">
        <is>
          <t>manage.py adduser / disable / resetpw. At least one active creator must always remain.</t>
        </is>
      </c>
      <c r="F20" s="6" t="inlineStr">
        <is>
          <t>Must</t>
        </is>
      </c>
      <c r="G20" s="6" t="n">
        <v>3</v>
      </c>
      <c r="H20" s="6" t="inlineStr">
        <is>
          <t>R2</t>
        </is>
      </c>
      <c r="I20" s="6" t="inlineStr">
        <is>
          <t>Not started</t>
        </is>
      </c>
      <c r="J20" s="6" t="inlineStr">
        <is>
          <t>A5</t>
        </is>
      </c>
      <c r="K20" s="7" t="inlineStr">
        <is>
          <t>CLI is enough at this size</t>
        </is>
      </c>
      <c r="L20" s="36" t="inlineStr">
        <is>
          <t>Built &amp; verified</t>
        </is>
      </c>
      <c r="M20" s="36" t="inlineStr">
        <is>
          <t>Two sessions totalling ~132 tool calls (376,028 tokens): the main build, then a second targeted session for the Secure-cookie fix flagged by Agent F.</t>
        </is>
      </c>
      <c r="N20" s="36" t="inlineStr">
        <is>
          <t>manage.py adduser/disable/resetpw/listusers all work; disable on the last active admin is refused, verified live, then succeeds once a second admin exists.</t>
        </is>
      </c>
      <c r="O20" s="36" t="inlineStr">
        <is>
          <t>manage.py didn't exist yet when this agent started (the file's overall ownership per agents/README.md sits with Agent H, but the brief explicitly carved out 'user commands only' for this agent). Structured with argparse sub-parsers specifically so Agent H could extend it without touching these commands - which is exactly what happened.</t>
        </is>
      </c>
      <c r="P20" s="36" t="inlineStr">
        <is>
          <t>B Auth</t>
        </is>
      </c>
      <c r="Q20" s="36" t="inlineStr">
        <is>
          <t>Built &amp; verified</t>
        </is>
      </c>
      <c r="R20" s="36" t="inlineStr">
        <is>
          <t>Two sessions totalling ~132 tool calls (376,028 tokens): the main build, then a second targeted session for the Secure-cookie fix flagged by Agent F.</t>
        </is>
      </c>
      <c r="S20" s="36" t="inlineStr">
        <is>
          <t>manage.py adduser/disable/resetpw/listusers all work; disable on the last active admin is refused, verified live, then succeeds once a second admin exists.</t>
        </is>
      </c>
      <c r="T20" s="36" t="inlineStr">
        <is>
          <t>manage.py didn't exist yet when this agent started (the file's overall ownership per agents/README.md sits with Agent H, but the brief explicitly carved out 'user commands only' for this agent). Structured with argparse sub-parsers specifically so Agent H could extend it without touching these commands - which is exactly what happened.</t>
        </is>
      </c>
      <c r="U20" s="36" t="inlineStr">
        <is>
          <t>B Auth</t>
        </is>
      </c>
    </row>
    <row r="21" ht="30" customHeight="1">
      <c r="A21" s="4" t="inlineStr">
        <is>
          <t>S1</t>
        </is>
      </c>
      <c r="B21" s="4" t="inlineStr">
        <is>
          <t>B Auth</t>
        </is>
      </c>
      <c r="C21" s="5" t="inlineStr">
        <is>
          <t>E1 Access &amp; Identity</t>
        </is>
      </c>
      <c r="D21" s="5" t="inlineStr">
        <is>
          <t>Settings screen with the API key</t>
        </is>
      </c>
      <c r="E21" s="5" t="inlineStr">
        <is>
          <t>Admin-only. match.mode fuzzy|llm toggle, provider, API key as a write-only password field, model, threshold, erp flags, sync times. Key never returned to the client. With no key the app runs fuzzy-only and says so.</t>
        </is>
      </c>
      <c r="F21" s="4" t="inlineStr">
        <is>
          <t>Must</t>
        </is>
      </c>
      <c r="G21" s="4" t="n">
        <v>8</v>
      </c>
      <c r="H21" s="4" t="inlineStr">
        <is>
          <t>R2</t>
        </is>
      </c>
      <c r="I21" s="4" t="inlineStr">
        <is>
          <t>Not started</t>
        </is>
      </c>
      <c r="J21" s="4" t="inlineStr">
        <is>
          <t>A5</t>
        </is>
      </c>
      <c r="K21" s="5" t="inlineStr">
        <is>
          <t>Anuraag pastes the key himself</t>
        </is>
      </c>
      <c r="L21" s="36" t="inlineStr">
        <is>
          <t>Built &amp; verified</t>
        </is>
      </c>
      <c r="M21" s="36" t="inlineStr">
        <is>
          <t>Two sessions totalling ~132 tool calls (376,028 tokens): the main build, then a second targeted session for the Secure-cookie fix flagged by Agent F.</t>
        </is>
      </c>
      <c r="N21" s="36" t="inlineStr">
        <is>
          <t>Settings screen live: match.mode toggle, provider, write-only API-key field (masked on read, never echoed), model, threshold, ERP flags, sync times. Clearing the key snaps match.mode back to fuzzy automatically, not just in the UI - verified live. 'Test key' surfaces the provider's real error text (tested against a deliberately wrong Anthropic key, got the real 401 back, not a crash).</t>
        </is>
      </c>
      <c r="O21" s="36" t="inlineStr">
        <is>
          <t>Judgement call: CONTRACTS.md's route-ownership table names /settings/* as the prefix, but the dispatcher only ever routes a path starting with /api/ through the table at all - a bare /settings GET could never have reached a handler as Agent 0 built it. Implemented under /api/v1/settings instead, consistent with the brief's own task list, and flagged the discrepancy rather than silently picking one reading.</t>
        </is>
      </c>
      <c r="P21" s="36" t="inlineStr">
        <is>
          <t>B Auth</t>
        </is>
      </c>
      <c r="Q21" s="36" t="inlineStr">
        <is>
          <t>Built &amp; verified</t>
        </is>
      </c>
      <c r="R21" s="36" t="inlineStr">
        <is>
          <t>Two sessions totalling ~132 tool calls (376,028 tokens): the main build, then a second targeted session for the Secure-cookie fix flagged by Agent F.</t>
        </is>
      </c>
      <c r="S21" s="36" t="inlineStr">
        <is>
          <t>Settings screen live: match.mode toggle, provider, write-only API-key field (masked on read, never echoed), model, threshold, ERP flags, sync times. Clearing the key snaps match.mode back to fuzzy automatically, not just in the UI - verified live. 'Test key' surfaces the provider's real error text (tested against a deliberately wrong Anthropic key, got the real 401 back, not a crash).</t>
        </is>
      </c>
      <c r="T21" s="36" t="inlineStr">
        <is>
          <t>Judgement call: CONTRACTS.md's route-ownership table names /settings/* as the prefix, but the dispatcher only ever routes a path starting with /api/ through the table at all - a bare /settings GET could never have reached a handler as Agent 0 built it. Implemented under /api/v1/settings instead, consistent with the brief's own task list, and flagged the discrepancy rather than silently picking one reading.</t>
        </is>
      </c>
      <c r="U21" s="36" t="inlineStr">
        <is>
          <t>B Auth</t>
        </is>
      </c>
    </row>
    <row r="22" ht="30" customHeight="1">
      <c r="A22" s="6" t="inlineStr">
        <is>
          <t>A11</t>
        </is>
      </c>
      <c r="B22" s="6" t="inlineStr">
        <is>
          <t>B Auth</t>
        </is>
      </c>
      <c r="C22" s="7" t="inlineStr">
        <is>
          <t>E1 Access &amp; Identity</t>
        </is>
      </c>
      <c r="D22" s="7" t="inlineStr">
        <is>
          <t>Change own password</t>
        </is>
      </c>
      <c r="E22" s="7" t="inlineStr">
        <is>
          <t>A logged-in creator can change their password; the old one is required.</t>
        </is>
      </c>
      <c r="F22" s="6" t="inlineStr">
        <is>
          <t>Should</t>
        </is>
      </c>
      <c r="G22" s="6" t="n">
        <v>2</v>
      </c>
      <c r="H22" s="6" t="inlineStr">
        <is>
          <t>R2</t>
        </is>
      </c>
      <c r="I22" s="6" t="inlineStr">
        <is>
          <t>Not started</t>
        </is>
      </c>
      <c r="J22" s="6" t="inlineStr">
        <is>
          <t>A5</t>
        </is>
      </c>
      <c r="K22" s="7" t="inlineStr"/>
      <c r="L22" s="36" t="inlineStr">
        <is>
          <t>Built &amp; verified</t>
        </is>
      </c>
      <c r="M22" s="36" t="inlineStr">
        <is>
          <t>Two sessions totalling ~132 tool calls (376,028 tokens): the main build, then a second targeted session for the Secure-cookie fix flagged by Agent F.</t>
        </is>
      </c>
      <c r="N22" s="36" t="inlineStr">
        <is>
          <t>POST /api/v1/auth/password requires the old password, enforces an 8-character minimum, clears any forced-change flag on success.</t>
        </is>
      </c>
      <c r="O22" s="36" t="inlineStr">
        <is>
          <t>Extended slightly beyond the literal spec: also applied after manage.py resetpw, not just the first-run bootstrap, on the reasoning that 'hand the password over directly' is safer if the recipient is then made to pick their own. Flagged as easy to drop if unwanted.</t>
        </is>
      </c>
      <c r="P22" s="36" t="inlineStr">
        <is>
          <t>B Auth</t>
        </is>
      </c>
      <c r="Q22" s="36" t="inlineStr">
        <is>
          <t>Built &amp; verified</t>
        </is>
      </c>
      <c r="R22" s="36" t="inlineStr">
        <is>
          <t>Two sessions totalling ~132 tool calls (376,028 tokens): the main build, then a second targeted session for the Secure-cookie fix flagged by Agent F.</t>
        </is>
      </c>
      <c r="S22" s="36" t="inlineStr">
        <is>
          <t>POST /api/v1/auth/password requires the old password, enforces an 8-character minimum, clears any forced-change flag on success.</t>
        </is>
      </c>
      <c r="T22" s="36" t="inlineStr">
        <is>
          <t>Extended slightly beyond the literal spec: also applied after manage.py resetpw, not just the first-run bootstrap, on the reasoning that 'hand the password over directly' is safer if the recipient is then made to pick their own. Flagged as easy to drop if unwanted.</t>
        </is>
      </c>
      <c r="U22" s="36" t="inlineStr">
        <is>
          <t>B Auth</t>
        </is>
      </c>
    </row>
    <row r="23" ht="30" customHeight="1">
      <c r="A23" s="4" t="inlineStr">
        <is>
          <t>C10</t>
        </is>
      </c>
      <c r="B23" s="4" t="inlineStr">
        <is>
          <t>E Create</t>
        </is>
      </c>
      <c r="C23" s="5" t="inlineStr">
        <is>
          <t>E3 Code Engine</t>
        </is>
      </c>
      <c r="D23" s="5" t="inlineStr">
        <is>
          <t>Create screen with the three phases</t>
        </is>
      </c>
      <c r="E23" s="5" t="inlineStr">
        <is>
          <t>Paste or upload, then every line shows what phase 1 found, which group phase 2 chose, and what phase 3 read into each slot.</t>
        </is>
      </c>
      <c r="F23" s="4" t="inlineStr">
        <is>
          <t>Must</t>
        </is>
      </c>
      <c r="G23" s="4" t="n">
        <v>5</v>
      </c>
      <c r="H23" s="4" t="inlineStr">
        <is>
          <t>R3</t>
        </is>
      </c>
      <c r="I23" s="4" t="inlineStr">
        <is>
          <t>Not started</t>
        </is>
      </c>
      <c r="J23" s="4" t="inlineStr">
        <is>
          <t>A7</t>
        </is>
      </c>
      <c r="K23" s="5" t="inlineStr">
        <is>
          <t>Engine exists; this is the gated screen</t>
        </is>
      </c>
      <c r="L23" s="36" t="inlineStr">
        <is>
          <t>Built &amp; verified</t>
        </is>
      </c>
      <c r="M23" s="36" t="inlineStr">
        <is>
          <t>Session cut off by the account spend-limit event while writing its handover note; the file had already been fully written to disk before the connection died, and verification found nothing missing, so it was not resumed further.</t>
        </is>
      </c>
      <c r="N23" s="36" t="inlineStr">
        <is>
          <t>Create screen built with all three phases shown per card; resolve fires one request per line concurrently (pool of 4) so a card renders the moment its own request lands, rather than waiting for a single 20-line round trip to finish entirely.</t>
        </is>
      </c>
      <c r="O23" s="36" t="inlineStr">
        <is>
          <t>Deviation from the literal 'one round trip' reading: chose 20 concurrent single-line requests over one server-side batch call, explicitly traded off for faster perceived responsiveness. resolve_batch still exists for any caller that prefers the single-round-trip behaviour.</t>
        </is>
      </c>
      <c r="P23" s="36" t="inlineStr">
        <is>
          <t>E Create</t>
        </is>
      </c>
      <c r="Q23" s="36" t="inlineStr">
        <is>
          <t>Built &amp; verified</t>
        </is>
      </c>
      <c r="R23" s="36" t="inlineStr">
        <is>
          <t>Session cut off by the account spend-limit event while writing its handover note; the file had already been fully written to disk before the connection died, and verification found nothing missing, so it was not resumed further.</t>
        </is>
      </c>
      <c r="S23" s="36" t="inlineStr">
        <is>
          <t>Create screen built with all three phases shown per card; resolve fires one request per line concurrently (pool of 4) so a card renders the moment its own request lands, rather than waiting for a single 20-line round trip to finish entirely.</t>
        </is>
      </c>
      <c r="T23" s="36" t="inlineStr">
        <is>
          <t>Deviation from the literal 'one round trip' reading: chose 20 concurrent single-line requests over one server-side batch call, explicitly traded off for faster perceived responsiveness. resolve_batch still exists for any caller that prefers the single-round-trip behaviour.</t>
        </is>
      </c>
      <c r="U23" s="36" t="inlineStr">
        <is>
          <t>E Create</t>
        </is>
      </c>
    </row>
    <row r="24" ht="30" customHeight="1">
      <c r="A24" s="6" t="inlineStr">
        <is>
          <t>F8</t>
        </is>
      </c>
      <c r="B24" s="6" t="inlineStr">
        <is>
          <t>E Create</t>
        </is>
      </c>
      <c r="C24" s="7" t="inlineStr">
        <is>
          <t>E5 Invoice &amp; OCR</t>
        </is>
      </c>
      <c r="D24" s="7" t="inlineStr">
        <is>
          <t>Invoice upload wired into Create</t>
        </is>
      </c>
      <c r="E24" s="7" t="inlineStr">
        <is>
          <t>Drop a PDF, scan, photo, Excel or CSV and get one row per line item, each resolving independently.</t>
        </is>
      </c>
      <c r="F24" s="6" t="inlineStr">
        <is>
          <t>Must</t>
        </is>
      </c>
      <c r="G24" s="6" t="n">
        <v>5</v>
      </c>
      <c r="H24" s="6" t="inlineStr">
        <is>
          <t>R3</t>
        </is>
      </c>
      <c r="I24" s="6" t="inlineStr">
        <is>
          <t>Not started</t>
        </is>
      </c>
      <c r="J24" s="6" t="inlineStr">
        <is>
          <t>C10</t>
        </is>
      </c>
      <c r="K24" s="7" t="inlineStr">
        <is>
          <t>Engine exists</t>
        </is>
      </c>
      <c r="L24" s="36" t="inlineStr">
        <is>
          <t>Built &amp; verified</t>
        </is>
      </c>
      <c r="M24" s="36" t="inlineStr">
        <is>
          <t>Session cut off by the account spend-limit event while writing its handover note; the file had already been fully written to disk before the connection died, and verification found nothing missing, so it was not resumed further.</t>
        </is>
      </c>
      <c r="N24" s="36" t="inlineStr">
        <is>
          <t>Invoice upload wired in; verified vendor is read only from the invoice line itself, never the header, per Anuraag's explicit rule.</t>
        </is>
      </c>
      <c r="O24" s="36" t="inlineStr">
        <is>
          <t>None of note.</t>
        </is>
      </c>
      <c r="P24" s="36" t="inlineStr">
        <is>
          <t>E Create</t>
        </is>
      </c>
      <c r="Q24" s="36" t="inlineStr">
        <is>
          <t>Built &amp; verified</t>
        </is>
      </c>
      <c r="R24" s="36" t="inlineStr">
        <is>
          <t>Session cut off by the account spend-limit event while writing its handover note; the file had already been fully written to disk before the connection died, and verification found nothing missing, so it was not resumed further.</t>
        </is>
      </c>
      <c r="S24" s="36" t="inlineStr">
        <is>
          <t>Invoice upload wired in; verified vendor is read only from the invoice line itself, never the header, per Anuraag's explicit rule.</t>
        </is>
      </c>
      <c r="T24" s="36" t="inlineStr">
        <is>
          <t>None of note.</t>
        </is>
      </c>
      <c r="U24" s="36" t="inlineStr">
        <is>
          <t>E Create</t>
        </is>
      </c>
    </row>
    <row r="25" ht="30" customHeight="1">
      <c r="A25" s="4" t="inlineStr">
        <is>
          <t>K3</t>
        </is>
      </c>
      <c r="B25" s="4" t="inlineStr">
        <is>
          <t>E Create</t>
        </is>
      </c>
      <c r="C25" s="5" t="inlineStr">
        <is>
          <t>E6 Master &amp; Restructure</t>
        </is>
      </c>
      <c r="D25" s="5" t="inlineStr">
        <is>
          <t>Conditional cascading dropdowns</t>
        </is>
      </c>
      <c r="E25" s="5" t="inlineStr">
        <is>
          <t>Choosing a head filters sub-heads to that head. Choosing a sub-head filters groups to that sub-head only. Choosing a group re-renders its spec slots with that group's labels.</t>
        </is>
      </c>
      <c r="F25" s="4" t="inlineStr">
        <is>
          <t>Must</t>
        </is>
      </c>
      <c r="G25" s="4" t="n">
        <v>8</v>
      </c>
      <c r="H25" s="4" t="inlineStr">
        <is>
          <t>R3</t>
        </is>
      </c>
      <c r="I25" s="4" t="inlineStr">
        <is>
          <t>Not started</t>
        </is>
      </c>
      <c r="J25" s="4" t="inlineStr">
        <is>
          <t>C10</t>
        </is>
      </c>
      <c r="K25" s="5" t="inlineStr">
        <is>
          <t>Core of your edit requirement</t>
        </is>
      </c>
      <c r="L25" s="36" t="inlineStr">
        <is>
          <t>Built &amp; verified</t>
        </is>
      </c>
      <c r="M25" s="36" t="inlineStr">
        <is>
          <t>Session cut off by the account spend-limit event while writing its handover note; the file had already been fully written to disk before the connection died, and verification found nothing missing, so it was not resumed further.</t>
        </is>
      </c>
      <c r="N25" s="36" t="inlineStr">
        <is>
          <t>Cascading dropdowns filter strictly to their parent at every level (CONTRACTS.md's 'impossible to choose, not merely discouraged'); choosing a group re-renders spec boxes with that group's own labels, verified live changing sub-head clears the group and shortens the code live via /resolve/preview.</t>
        </is>
      </c>
      <c r="O25" s="36" t="inlineStr">
        <is>
          <t>None of note.</t>
        </is>
      </c>
      <c r="P25" s="36" t="inlineStr">
        <is>
          <t>E Create</t>
        </is>
      </c>
      <c r="Q25" s="36" t="inlineStr">
        <is>
          <t>Built &amp; verified</t>
        </is>
      </c>
      <c r="R25" s="36" t="inlineStr">
        <is>
          <t>Session cut off by the account spend-limit event while writing its handover note; the file had already been fully written to disk before the connection died, and verification found nothing missing, so it was not resumed further.</t>
        </is>
      </c>
      <c r="S25" s="36" t="inlineStr">
        <is>
          <t>Cascading dropdowns filter strictly to their parent at every level (CONTRACTS.md's 'impossible to choose, not merely discouraged'); choosing a group re-renders spec boxes with that group's own labels, verified live changing sub-head clears the group and shortens the code live via /resolve/preview.</t>
        </is>
      </c>
      <c r="T25" s="36" t="inlineStr">
        <is>
          <t>None of note.</t>
        </is>
      </c>
      <c r="U25" s="36" t="inlineStr">
        <is>
          <t>E Create</t>
        </is>
      </c>
    </row>
    <row r="26" ht="30" customHeight="1">
      <c r="A26" s="6" t="inlineStr">
        <is>
          <t>K4</t>
        </is>
      </c>
      <c r="B26" s="6" t="inlineStr">
        <is>
          <t>D Engine</t>
        </is>
      </c>
      <c r="C26" s="7" t="inlineStr">
        <is>
          <t>E6 Master &amp; Restructure</t>
        </is>
      </c>
      <c r="D26" s="7" t="inlineStr">
        <is>
          <t>Live code recomputation</t>
        </is>
      </c>
      <c r="E26" s="7" t="inlineStr">
        <is>
          <t>Any change to head, sub-head, group, spec or vendor recomputes the code immediately, obeying the interior-00 and trailing-truncate rules.</t>
        </is>
      </c>
      <c r="F26" s="6" t="inlineStr">
        <is>
          <t>Must</t>
        </is>
      </c>
      <c r="G26" s="6" t="n">
        <v>5</v>
      </c>
      <c r="H26" s="6" t="inlineStr">
        <is>
          <t>R3</t>
        </is>
      </c>
      <c r="I26" s="6" t="inlineStr">
        <is>
          <t>Not started</t>
        </is>
      </c>
      <c r="J26" s="6" t="inlineStr">
        <is>
          <t>K3</t>
        </is>
      </c>
      <c r="K26" s="7" t="inlineStr"/>
      <c r="L26" s="36" t="inlineStr">
        <is>
          <t>Built &amp; verified</t>
        </is>
      </c>
      <c r="M26" s="36" t="inlineStr">
        <is>
          <t>Single successful segment: 61 tool calls, 199,839 tokens, ~17 min.</t>
        </is>
      </c>
      <c r="N26" s="36" t="inlineStr">
        <is>
          <t>preview_code(con, head_id, subhead_id, grp_id, slots, vendor) built pure and side-effect-free, with a per-position explain list; every value is resolved through assemble() itself, never reimplemented.</t>
        </is>
      </c>
      <c r="O26" s="36" t="inlineStr">
        <is>
          <t>The brief named this function; CONTRACTS.md's frozen core/codes.py signatures technically don't list it (only assemble/parse/next_group_code are frozen there) - built it anyway since the brief was explicit and it's additive, not a change to a frozen signature.</t>
        </is>
      </c>
      <c r="P26" s="36" t="inlineStr">
        <is>
          <t>D Engine</t>
        </is>
      </c>
      <c r="Q26" s="36" t="inlineStr">
        <is>
          <t>Built &amp; verified</t>
        </is>
      </c>
      <c r="R26" s="36" t="inlineStr">
        <is>
          <t>Single successful segment: 61 tool calls, 199,839 tokens, ~17 min.</t>
        </is>
      </c>
      <c r="S26" s="36" t="inlineStr">
        <is>
          <t>preview_code(con, head_id, subhead_id, grp_id, slots, vendor) built pure and side-effect-free, with a per-position explain list; every value is resolved through assemble() itself, never reimplemented.</t>
        </is>
      </c>
      <c r="T26" s="36" t="inlineStr">
        <is>
          <t>The brief named this function; CONTRACTS.md's frozen core/codes.py signatures technically don't list it (only assemble/parse/next_group_code are frozen there) - built it anyway since the brief was explicit and it's additive, not a change to a frozen signature.</t>
        </is>
      </c>
      <c r="U26" s="36" t="inlineStr">
        <is>
          <t>D Engine</t>
        </is>
      </c>
    </row>
    <row r="27" ht="30" customHeight="1">
      <c r="A27" s="4" t="inlineStr">
        <is>
          <t>K11</t>
        </is>
      </c>
      <c r="B27" s="4" t="inlineStr">
        <is>
          <t>D Engine</t>
        </is>
      </c>
      <c r="C27" s="5" t="inlineStr">
        <is>
          <t>E3 Code Engine</t>
        </is>
      </c>
      <c r="D27" s="5" t="inlineStr">
        <is>
          <t>Item-level number reservation</t>
        </is>
      </c>
      <c r="E27" s="5" t="inlineStr">
        <is>
          <t>Moving an item to another group frees its old position under that head and sub-head into the vacancy ledger. New arrivals take a fresh number; the reserved one is released only to a later item with the same spec tuple, and dropped when the sub-head is revoked.</t>
        </is>
      </c>
      <c r="F27" s="4" t="inlineStr">
        <is>
          <t>Must</t>
        </is>
      </c>
      <c r="G27" s="4" t="n">
        <v>8</v>
      </c>
      <c r="H27" s="4" t="inlineStr">
        <is>
          <t>R3</t>
        </is>
      </c>
      <c r="I27" s="4" t="inlineStr">
        <is>
          <t>Not started</t>
        </is>
      </c>
      <c r="J27" s="4" t="inlineStr">
        <is>
          <t>K4</t>
        </is>
      </c>
      <c r="K27" s="5" t="inlineStr">
        <is>
          <t>The logic you said was missing</t>
        </is>
      </c>
      <c r="L27" s="36" t="inlineStr">
        <is>
          <t>Built &amp; verified (design reversed)</t>
        </is>
      </c>
      <c r="M27" s="36" t="inlineStr">
        <is>
          <t>Single successful segment: 61 tool calls, 199,839 tokens, ~17 min.</t>
        </is>
      </c>
      <c r="N27" s="36" t="inlineStr">
        <is>
          <t>Item-level vacancy was genuinely missing before this session; built from scratch (next_item_position, free_item_position, item_vacancy writes on every non-frozen recode).</t>
        </is>
      </c>
      <c r="O27" s="36" t="inlineStr">
        <is>
          <t>The plan row's own acceptance text ('released only to a &gt;=88% name match') describes the OLD reservation rule. This session implements the newer, opposite rule Anuraag specified on 6 August - queue-claim, lowest-first, no semantic matching at all. This is the same class of deviation as D9: intentional, instructed, and the plan text is simply stale relative to CONTRACTS.md, which is dated the same day but reflects a later decision.</t>
        </is>
      </c>
      <c r="P27" s="36" t="inlineStr">
        <is>
          <t>D Engine</t>
        </is>
      </c>
      <c r="Q27" s="36" t="inlineStr">
        <is>
          <t>Built &amp; verified (design reversed)</t>
        </is>
      </c>
      <c r="R27" s="36" t="inlineStr">
        <is>
          <t>Single successful segment: 61 tool calls, 199,839 tokens, ~17 min.</t>
        </is>
      </c>
      <c r="S27" s="36" t="inlineStr">
        <is>
          <t>Item-level vacancy was genuinely missing before this session; built from scratch (next_item_position, free_item_position, item_vacancy writes on every non-frozen recode).</t>
        </is>
      </c>
      <c r="T27" s="36" t="inlineStr">
        <is>
          <t>The plan row's own acceptance text ('released only to a &gt;=88% name match') describes the OLD reservation rule. This session implements the newer, opposite rule Anuraag specified on 6 August - queue-claim, lowest-first, no semantic matching at all. This is the same class of deviation as D9: intentional, instructed, and the plan text is simply stale relative to CONTRACTS.md, which is dated the same day but reflects a later decision.</t>
        </is>
      </c>
      <c r="U27" s="36" t="inlineStr">
        <is>
          <t>D Engine</t>
        </is>
      </c>
    </row>
    <row r="28" ht="30" customHeight="1">
      <c r="A28" s="6" t="inlineStr">
        <is>
          <t>K12</t>
        </is>
      </c>
      <c r="B28" s="6" t="inlineStr">
        <is>
          <t>F Master</t>
        </is>
      </c>
      <c r="C28" s="7" t="inlineStr">
        <is>
          <t>E6 Master &amp; Restructure</t>
        </is>
      </c>
      <c r="D28" s="7" t="inlineStr">
        <is>
          <t>Vacancy visibility</t>
        </is>
      </c>
      <c r="E28" s="7" t="inlineStr">
        <is>
          <t>Reserved numbers at both group and item level are listed with what freed them and what would claim them.</t>
        </is>
      </c>
      <c r="F28" s="6" t="inlineStr">
        <is>
          <t>Should</t>
        </is>
      </c>
      <c r="G28" s="6" t="n">
        <v>3</v>
      </c>
      <c r="H28" s="6" t="inlineStr">
        <is>
          <t>R4</t>
        </is>
      </c>
      <c r="I28" s="6" t="inlineStr">
        <is>
          <t>Not started</t>
        </is>
      </c>
      <c r="J28" s="6" t="inlineStr">
        <is>
          <t>K11</t>
        </is>
      </c>
      <c r="K28" s="7" t="inlineStr"/>
      <c r="L28" s="36" t="inlineStr">
        <is>
          <t>Built &amp; verified</t>
        </is>
      </c>
      <c r="M28" s="36" t="inlineStr">
        <is>
          <t>Single successful segment: 64 tool calls, 246,199 tokens, ~19.5 min.</t>
        </is>
      </c>
      <c r="N28" s="36" t="inlineStr">
        <is>
          <t>list_vacancies(con) built by Agent D, consumed here; verified end-to-end by creating a throwaway group, deleting it, and watching the vacancy appear correctly with the right 'freed by' text.</t>
        </is>
      </c>
      <c r="O28" s="36" t="inlineStr">
        <is>
          <t>Presented as 'next free number' rather than 'reserved for' per the queue-claim rule - the plan row's own wording ('what would claim them') reads closer to the old reservation semantics, adjusted in the copy to avoid being misleading now that vacancies aren't held for anyone specific.</t>
        </is>
      </c>
      <c r="P28" s="36" t="inlineStr">
        <is>
          <t>F Master</t>
        </is>
      </c>
      <c r="Q28" s="36" t="inlineStr">
        <is>
          <t>Built &amp; verified</t>
        </is>
      </c>
      <c r="R28" s="36" t="inlineStr">
        <is>
          <t>Single successful segment: 64 tool calls, 246,199 tokens, ~19.5 min.</t>
        </is>
      </c>
      <c r="S28" s="36" t="inlineStr">
        <is>
          <t>list_vacancies(con) built by Agent D, consumed here; verified end-to-end by creating a throwaway group, deleting it, and watching the vacancy appear correctly with the right 'freed by' text.</t>
        </is>
      </c>
      <c r="T28" s="36" t="inlineStr">
        <is>
          <t>Presented as 'next free number' rather than 'reserved for' per the queue-claim rule - the plan row's own wording ('what would claim them') reads closer to the old reservation semantics, adjusted in the copy to avoid being misleading now that vacancies aren't held for anyone specific.</t>
        </is>
      </c>
      <c r="U28" s="36" t="inlineStr">
        <is>
          <t>F Master</t>
        </is>
      </c>
    </row>
    <row r="29" ht="30" customHeight="1">
      <c r="A29" s="4" t="inlineStr">
        <is>
          <t>K5</t>
        </is>
      </c>
      <c r="B29" s="4" t="inlineStr">
        <is>
          <t>E Create</t>
        </is>
      </c>
      <c r="C29" s="5" t="inlineStr">
        <is>
          <t>E6 Master &amp; Restructure</t>
        </is>
      </c>
      <c r="D29" s="5" t="inlineStr">
        <is>
          <t>Edit before submit</t>
        </is>
      </c>
      <c r="E29" s="5" t="inlineStr">
        <is>
          <t>Every proposed code carries an Edit control. Nothing is written until Submit.</t>
        </is>
      </c>
      <c r="F29" s="4" t="inlineStr">
        <is>
          <t>Must</t>
        </is>
      </c>
      <c r="G29" s="4" t="n">
        <v>3</v>
      </c>
      <c r="H29" s="4" t="inlineStr">
        <is>
          <t>R3</t>
        </is>
      </c>
      <c r="I29" s="4" t="inlineStr">
        <is>
          <t>Not started</t>
        </is>
      </c>
      <c r="J29" s="4" t="inlineStr">
        <is>
          <t>K4</t>
        </is>
      </c>
      <c r="K29" s="5" t="inlineStr"/>
      <c r="L29" s="36" t="inlineStr">
        <is>
          <t>Built &amp; verified</t>
        </is>
      </c>
      <c r="M29" s="36" t="inlineStr">
        <is>
          <t>Session cut off by the account spend-limit event while writing its handover note; the file had already been fully written to disk before the connection died, and verification found nothing missing, so it was not resumed further.</t>
        </is>
      </c>
      <c r="N29" s="36" t="inlineStr">
        <is>
          <t>Edit-before-submit enforced; Submit stays disabled while any blocker stands.</t>
        </is>
      </c>
      <c r="O29" s="36" t="inlineStr">
        <is>
          <t>None.</t>
        </is>
      </c>
      <c r="P29" s="36" t="inlineStr">
        <is>
          <t>E Create</t>
        </is>
      </c>
      <c r="Q29" s="36" t="inlineStr">
        <is>
          <t>Built &amp; verified</t>
        </is>
      </c>
      <c r="R29" s="36" t="inlineStr">
        <is>
          <t>Session cut off by the account spend-limit event while writing its handover note; the file had already been fully written to disk before the connection died, and verification found nothing missing, so it was not resumed further.</t>
        </is>
      </c>
      <c r="S29" s="36" t="inlineStr">
        <is>
          <t>Edit-before-submit enforced; Submit stays disabled while any blocker stands.</t>
        </is>
      </c>
      <c r="T29" s="36" t="inlineStr">
        <is>
          <t>None.</t>
        </is>
      </c>
      <c r="U29" s="36" t="inlineStr">
        <is>
          <t>E Create</t>
        </is>
      </c>
    </row>
    <row r="30" ht="30" customHeight="1">
      <c r="A30" s="6" t="inlineStr">
        <is>
          <t>B5</t>
        </is>
      </c>
      <c r="B30" s="6" t="inlineStr">
        <is>
          <t>E Create</t>
        </is>
      </c>
      <c r="C30" s="7" t="inlineStr">
        <is>
          <t>E2 API v1</t>
        </is>
      </c>
      <c r="D30" s="7" t="inlineStr">
        <is>
          <t>Idempotent commit</t>
        </is>
      </c>
      <c r="E30" s="7" t="inlineStr">
        <is>
          <t>A commit carries a client token; replaying it returns the original code instead of issuing a second.</t>
        </is>
      </c>
      <c r="F30" s="6" t="inlineStr">
        <is>
          <t>Must</t>
        </is>
      </c>
      <c r="G30" s="6" t="n">
        <v>3</v>
      </c>
      <c r="H30" s="6" t="inlineStr">
        <is>
          <t>R3</t>
        </is>
      </c>
      <c r="I30" s="6" t="inlineStr">
        <is>
          <t>Not started</t>
        </is>
      </c>
      <c r="J30" s="6" t="inlineStr">
        <is>
          <t>K5</t>
        </is>
      </c>
      <c r="K30" s="7" t="inlineStr">
        <is>
          <t>Guards double-click</t>
        </is>
      </c>
      <c r="L30" s="36" t="inlineStr">
        <is>
          <t>Built &amp; verified</t>
        </is>
      </c>
      <c r="M30" s="36" t="inlineStr">
        <is>
          <t>Session cut off by the account spend-limit event while writing its handover note; the file had already been fully written to disk before the connection died, and verification found nothing missing, so it was not resumed further.</t>
        </is>
      </c>
      <c r="N30" s="36" t="inlineStr">
        <is>
          <t>Idempotency key required on commit; two identical commits with the same key verified to mint only one item, the second returning the same code with idempotent:true.</t>
        </is>
      </c>
      <c r="O30" s="36" t="inlineStr">
        <is>
          <t>Deviation: stored the key-to-result mapping in the existing audit table rather than a new dedicated table, since Agent 0 owns core/db.py's schema exclusively and this didn't need a schema change to work. Flagged as a candidate for a purpose-built table later if it needs to scale.</t>
        </is>
      </c>
      <c r="P30" s="36" t="inlineStr">
        <is>
          <t>E Create</t>
        </is>
      </c>
      <c r="Q30" s="36" t="inlineStr">
        <is>
          <t>Built &amp; verified</t>
        </is>
      </c>
      <c r="R30" s="36" t="inlineStr">
        <is>
          <t>Session cut off by the account spend-limit event while writing its handover note; the file had already been fully written to disk before the connection died, and verification found nothing missing, so it was not resumed further.</t>
        </is>
      </c>
      <c r="S30" s="36" t="inlineStr">
        <is>
          <t>Idempotency key required on commit; two identical commits with the same key verified to mint only one item, the second returning the same code with idempotent:true.</t>
        </is>
      </c>
      <c r="T30" s="36" t="inlineStr">
        <is>
          <t>Deviation: stored the key-to-result mapping in the existing audit table rather than a new dedicated table, since Agent 0 owns core/db.py's schema exclusively and this didn't need a schema change to work. Flagged as a candidate for a purpose-built table later if it needs to scale.</t>
        </is>
      </c>
      <c r="U30" s="36" t="inlineStr">
        <is>
          <t>E Create</t>
        </is>
      </c>
    </row>
    <row r="31" ht="30" customHeight="1">
      <c r="A31" s="4" t="inlineStr">
        <is>
          <t>C8</t>
        </is>
      </c>
      <c r="B31" s="4" t="inlineStr">
        <is>
          <t>D Engine</t>
        </is>
      </c>
      <c r="C31" s="5" t="inlineStr">
        <is>
          <t>E3 Code Engine</t>
        </is>
      </c>
      <c r="D31" s="5" t="inlineStr">
        <is>
          <t>Concurrent issuance safety</t>
        </is>
      </c>
      <c r="E31" s="5" t="inlineStr">
        <is>
          <t>Two creators submitting in the same second cannot receive the same code. Proven by a concurrent test, not by argument.</t>
        </is>
      </c>
      <c r="F31" s="4" t="inlineStr">
        <is>
          <t>Must</t>
        </is>
      </c>
      <c r="G31" s="4" t="n">
        <v>5</v>
      </c>
      <c r="H31" s="4" t="inlineStr">
        <is>
          <t>R5</t>
        </is>
      </c>
      <c r="I31" s="4" t="inlineStr">
        <is>
          <t>Not started</t>
        </is>
      </c>
      <c r="J31" s="4" t="inlineStr">
        <is>
          <t>B5</t>
        </is>
      </c>
      <c r="K31" s="5" t="inlineStr"/>
      <c r="L31" s="36" t="inlineStr">
        <is>
          <t>Built &amp; verified</t>
        </is>
      </c>
      <c r="M31" s="36" t="inlineStr">
        <is>
          <t>Single successful segment: 61 tool calls, 199,839 tokens, ~17 min.</t>
        </is>
      </c>
      <c r="N31" s="36" t="inlineStr">
        <is>
          <t>tests/test_concurrent.py fires 20 threads at the allocator and asserts 20 distinct, gapless codes - a real, runnable proof, not an argument. Caught and fixed one genuine race in mint_from_lease along the way (two threads minting from the same lease produced the same number before the fix).</t>
        </is>
      </c>
      <c r="O31" s="36" t="inlineStr">
        <is>
          <t>The concurrency test is exactly what caught the lease race - a clean example of a test paying for itself immediately rather than being a formality.</t>
        </is>
      </c>
      <c r="P31" s="36" t="inlineStr">
        <is>
          <t>D Engine</t>
        </is>
      </c>
      <c r="Q31" s="36" t="inlineStr">
        <is>
          <t>Built &amp; verified</t>
        </is>
      </c>
      <c r="R31" s="36" t="inlineStr">
        <is>
          <t>Single successful segment: 61 tool calls, 199,839 tokens, ~17 min.</t>
        </is>
      </c>
      <c r="S31" s="36" t="inlineStr">
        <is>
          <t>tests/test_concurrent.py fires 20 threads at the allocator and asserts 20 distinct, gapless codes - a real, runnable proof, not an argument. Caught and fixed one genuine race in mint_from_lease along the way (two threads minting from the same lease produced the same number before the fix).</t>
        </is>
      </c>
      <c r="T31" s="36" t="inlineStr">
        <is>
          <t>The concurrency test is exactly what caught the lease race - a clean example of a test paying for itself immediately rather than being a formality.</t>
        </is>
      </c>
      <c r="U31" s="36" t="inlineStr">
        <is>
          <t>D Engine</t>
        </is>
      </c>
    </row>
    <row r="32" ht="30" customHeight="1">
      <c r="A32" s="6" t="inlineStr">
        <is>
          <t>K6</t>
        </is>
      </c>
      <c r="B32" s="6" t="inlineStr">
        <is>
          <t>F Master</t>
        </is>
      </c>
      <c r="C32" s="7" t="inlineStr">
        <is>
          <t>E6 Master &amp; Restructure</t>
        </is>
      </c>
      <c r="D32" s="7" t="inlineStr">
        <is>
          <t>Item master as an editable directory</t>
        </is>
      </c>
      <c r="E32" s="7" t="inlineStr">
        <is>
          <t>Same rows and columns as the public directory, every field editable in place, with the same cascading dropdowns.</t>
        </is>
      </c>
      <c r="F32" s="6" t="inlineStr">
        <is>
          <t>Must</t>
        </is>
      </c>
      <c r="G32" s="6" t="n">
        <v>8</v>
      </c>
      <c r="H32" s="6" t="inlineStr">
        <is>
          <t>R4</t>
        </is>
      </c>
      <c r="I32" s="6" t="inlineStr">
        <is>
          <t>Not started</t>
        </is>
      </c>
      <c r="J32" s="6" t="inlineStr">
        <is>
          <t>K3</t>
        </is>
      </c>
      <c r="K32" s="7" t="inlineStr">
        <is>
          <t>Your instruction</t>
        </is>
      </c>
      <c r="L32" s="36" t="inlineStr">
        <is>
          <t>Built &amp; verified</t>
        </is>
      </c>
      <c r="M32" s="36" t="inlineStr">
        <is>
          <t>Single successful segment: 64 tool calls, 246,199 tokens, ~19.5 min.</t>
        </is>
      </c>
      <c r="N32" s="36" t="inlineStr">
        <is>
          <t>Item master rebuilt as an editable directory with server-side pagination (1,947+ rows never all loaded at once) and the same cascading filters as the create screen.</t>
        </is>
      </c>
      <c r="O32" s="36" t="inlineStr">
        <is>
          <t>Judgement call, explicitly flagged: the brief's task 1 asks for 'the same cascading dropdowns as the create screen' in the same sentence as 'field edits never change the code' - read literally, a reclassifying cascade on the edit form would contradict that same sentence. Resolved by putting the cascade on the filter toolbar (narrowing the list) and keeping the edit form to non-code-derived fields only, with reclassification staying where it already lived (the group move/merge routes). Documented as reversible in a few lines if Anuraag meant it literally.</t>
        </is>
      </c>
      <c r="P32" s="36" t="inlineStr">
        <is>
          <t>F Master</t>
        </is>
      </c>
      <c r="Q32" s="36" t="inlineStr">
        <is>
          <t>Built &amp; verified</t>
        </is>
      </c>
      <c r="R32" s="36" t="inlineStr">
        <is>
          <t>Single successful segment: 64 tool calls, 246,199 tokens, ~19.5 min.</t>
        </is>
      </c>
      <c r="S32" s="36" t="inlineStr">
        <is>
          <t>Item master rebuilt as an editable directory with server-side pagination (1,947+ rows never all loaded at once) and the same cascading filters as the create screen.</t>
        </is>
      </c>
      <c r="T32" s="36" t="inlineStr">
        <is>
          <t>Judgement call, explicitly flagged: the brief's task 1 asks for 'the same cascading dropdowns as the create screen' in the same sentence as 'field edits never change the code' - read literally, a reclassifying cascade on the edit form would contradict that same sentence. Resolved by putting the cascade on the filter toolbar (narrowing the list) and keeping the edit form to non-code-derived fields only, with reclassification staying where it already lived (the group move/merge routes). Documented as reversible in a few lines if Anuraag meant it literally.</t>
        </is>
      </c>
      <c r="U32" s="36" t="inlineStr">
        <is>
          <t>F Master</t>
        </is>
      </c>
    </row>
    <row r="33" ht="30" customHeight="1">
      <c r="A33" s="4" t="inlineStr">
        <is>
          <t>K7</t>
        </is>
      </c>
      <c r="B33" s="4" t="inlineStr">
        <is>
          <t>F Master</t>
        </is>
      </c>
      <c r="C33" s="5" t="inlineStr">
        <is>
          <t>E6 Master &amp; Restructure</t>
        </is>
      </c>
      <c r="D33" s="5" t="inlineStr">
        <is>
          <t>Revision history</t>
        </is>
      </c>
      <c r="E33" s="5" t="inlineStr">
        <is>
          <t>Every save snapshots the whole row with who, when and what changed. Nothing is overwritten in place.</t>
        </is>
      </c>
      <c r="F33" s="4" t="inlineStr">
        <is>
          <t>Must</t>
        </is>
      </c>
      <c r="G33" s="4" t="n">
        <v>8</v>
      </c>
      <c r="H33" s="4" t="inlineStr">
        <is>
          <t>R4</t>
        </is>
      </c>
      <c r="I33" s="4" t="inlineStr">
        <is>
          <t>Not started</t>
        </is>
      </c>
      <c r="J33" s="4" t="inlineStr">
        <is>
          <t>K6</t>
        </is>
      </c>
      <c r="K33" s="5" t="inlineStr">
        <is>
          <t>The version-control requirement</t>
        </is>
      </c>
      <c r="L33" s="36" t="inlineStr">
        <is>
          <t>Built &amp; verified</t>
        </is>
      </c>
      <c r="M33" s="36" t="inlineStr">
        <is>
          <t>Single successful segment: 64 tool calls, 246,199 tokens, ~19.5 min.</t>
        </is>
      </c>
      <c r="N33" s="36" t="inlineStr">
        <is>
          <t>core/versions.py built: whole-row snapshots (never diffs) on every save, with a lazy ensure_baseline() so the 1,947 pre-existing items get a real 'version 1' the first time they're touched rather than needing a slow bulk migration.</t>
        </is>
      </c>
      <c r="O33" s="36" t="inlineStr">
        <is>
          <t>None of note.</t>
        </is>
      </c>
      <c r="P33" s="36" t="inlineStr">
        <is>
          <t>F Master</t>
        </is>
      </c>
      <c r="Q33" s="36" t="inlineStr">
        <is>
          <t>Built &amp; verified</t>
        </is>
      </c>
      <c r="R33" s="36" t="inlineStr">
        <is>
          <t>Single successful segment: 64 tool calls, 246,199 tokens, ~19.5 min.</t>
        </is>
      </c>
      <c r="S33" s="36" t="inlineStr">
        <is>
          <t>core/versions.py built: whole-row snapshots (never diffs) on every save, with a lazy ensure_baseline() so the 1,947 pre-existing items get a real 'version 1' the first time they're touched rather than needing a slow bulk migration.</t>
        </is>
      </c>
      <c r="T33" s="36" t="inlineStr">
        <is>
          <t>None of note.</t>
        </is>
      </c>
      <c r="U33" s="36" t="inlineStr">
        <is>
          <t>F Master</t>
        </is>
      </c>
    </row>
    <row r="34" ht="30" customHeight="1">
      <c r="A34" s="6" t="inlineStr">
        <is>
          <t>K8</t>
        </is>
      </c>
      <c r="B34" s="6" t="inlineStr">
        <is>
          <t>F Master</t>
        </is>
      </c>
      <c r="C34" s="7" t="inlineStr">
        <is>
          <t>E6 Master &amp; Restructure</t>
        </is>
      </c>
      <c r="D34" s="7" t="inlineStr">
        <is>
          <t>Revert to a previous version</t>
        </is>
      </c>
      <c r="E34" s="7" t="inlineStr">
        <is>
          <t>Any earlier version can be restored in one click. The revert is itself a new version, so it can be undone too.</t>
        </is>
      </c>
      <c r="F34" s="6" t="inlineStr">
        <is>
          <t>Must</t>
        </is>
      </c>
      <c r="G34" s="6" t="n">
        <v>5</v>
      </c>
      <c r="H34" s="6" t="inlineStr">
        <is>
          <t>R4</t>
        </is>
      </c>
      <c r="I34" s="6" t="inlineStr">
        <is>
          <t>Not started</t>
        </is>
      </c>
      <c r="J34" s="6" t="inlineStr">
        <is>
          <t>K7</t>
        </is>
      </c>
      <c r="K34" s="7" t="inlineStr"/>
      <c r="L34" s="36" t="inlineStr">
        <is>
          <t>Built &amp; verified</t>
        </is>
      </c>
      <c r="M34" s="36" t="inlineStr">
        <is>
          <t>Single successful segment: 64 tool calls, 246,199 tokens, ~19.5 min.</t>
        </is>
      </c>
      <c r="N34" s="36" t="inlineStr">
        <is>
          <t>Revert writes the target version's contents as a new version rather than deleting history; verified live - reverting to version 1 three times in testing produced versions 3, 5 and 6, never shrinking the history.</t>
        </is>
      </c>
      <c r="O34" s="36" t="inlineStr">
        <is>
          <t>None of note.</t>
        </is>
      </c>
      <c r="P34" s="36" t="inlineStr">
        <is>
          <t>F Master</t>
        </is>
      </c>
      <c r="Q34" s="36" t="inlineStr">
        <is>
          <t>Built &amp; verified</t>
        </is>
      </c>
      <c r="R34" s="36" t="inlineStr">
        <is>
          <t>Single successful segment: 64 tool calls, 246,199 tokens, ~19.5 min.</t>
        </is>
      </c>
      <c r="S34" s="36" t="inlineStr">
        <is>
          <t>Revert writes the target version's contents as a new version rather than deleting history; verified live - reverting to version 1 three times in testing produced versions 3, 5 and 6, never shrinking the history.</t>
        </is>
      </c>
      <c r="T34" s="36" t="inlineStr">
        <is>
          <t>None of note.</t>
        </is>
      </c>
      <c r="U34" s="36" t="inlineStr">
        <is>
          <t>F Master</t>
        </is>
      </c>
    </row>
    <row r="35" ht="30" customHeight="1">
      <c r="A35" s="4" t="inlineStr">
        <is>
          <t>K9</t>
        </is>
      </c>
      <c r="B35" s="4" t="inlineStr">
        <is>
          <t>F Master</t>
        </is>
      </c>
      <c r="C35" s="5" t="inlineStr">
        <is>
          <t>E6 Master &amp; Restructure</t>
        </is>
      </c>
      <c r="D35" s="5" t="inlineStr">
        <is>
          <t>Activity feed with diffs</t>
        </is>
      </c>
      <c r="E35" s="5" t="inlineStr">
        <is>
          <t>Activity shows field-level before and after, filterable by person, item and date, with Revert on each entry.</t>
        </is>
      </c>
      <c r="F35" s="4" t="inlineStr">
        <is>
          <t>Must</t>
        </is>
      </c>
      <c r="G35" s="4" t="n">
        <v>5</v>
      </c>
      <c r="H35" s="4" t="inlineStr">
        <is>
          <t>R4</t>
        </is>
      </c>
      <c r="I35" s="4" t="inlineStr">
        <is>
          <t>Not started</t>
        </is>
      </c>
      <c r="J35" s="4" t="inlineStr">
        <is>
          <t>K7</t>
        </is>
      </c>
      <c r="K35" s="5" t="inlineStr"/>
      <c r="L35" s="36" t="inlineStr">
        <is>
          <t>Built &amp; verified</t>
        </is>
      </c>
      <c r="M35" s="36" t="inlineStr">
        <is>
          <t>Single successful segment: 64 tool calls, 246,199 tokens, ~19.5 min.</t>
        </is>
      </c>
      <c r="N35" s="36" t="inlineStr">
        <is>
          <t>Activity feed merges item_version diffs and audit rows into one timestamp-sorted feed with real field-level before/after, filterable by person/item/date, Revert on each entry.</t>
        </is>
      </c>
      <c r="O35" s="36" t="inlineStr">
        <is>
          <t>matched_by extraction from audit.detail is speculative - built against a guess at the shape since Agent E's commit-logging (which is what would populate it) hadn't landed yet when this was built; documented as a likely one-line fix once that lands, rather than blocking on it.</t>
        </is>
      </c>
      <c r="P35" s="36" t="inlineStr">
        <is>
          <t>F Master</t>
        </is>
      </c>
      <c r="Q35" s="36" t="inlineStr">
        <is>
          <t>Built &amp; verified</t>
        </is>
      </c>
      <c r="R35" s="36" t="inlineStr">
        <is>
          <t>Single successful segment: 64 tool calls, 246,199 tokens, ~19.5 min.</t>
        </is>
      </c>
      <c r="S35" s="36" t="inlineStr">
        <is>
          <t>Activity feed merges item_version diffs and audit rows into one timestamp-sorted feed with real field-level before/after, filterable by person/item/date, Revert on each entry.</t>
        </is>
      </c>
      <c r="T35" s="36" t="inlineStr">
        <is>
          <t>matched_by extraction from audit.detail is speculative - built against a guess at the shape since Agent E's commit-logging (which is what would populate it) hadn't landed yet when this was built; documented as a likely one-line fix once that lands, rather than blocking on it.</t>
        </is>
      </c>
      <c r="U35" s="36" t="inlineStr">
        <is>
          <t>F Master</t>
        </is>
      </c>
    </row>
    <row r="36" ht="30" customHeight="1">
      <c r="A36" s="8" t="inlineStr">
        <is>
          <t>G3</t>
        </is>
      </c>
      <c r="B36" s="8" t="inlineStr">
        <is>
          <t>F Master</t>
        </is>
      </c>
      <c r="C36" s="9" t="inlineStr">
        <is>
          <t>E6 Master &amp; Restructure</t>
        </is>
      </c>
      <c r="D36" s="9" t="inlineStr">
        <is>
          <t>Move, merge, retire, rename</t>
        </is>
      </c>
      <c r="E36" s="9" t="inlineStr">
        <is>
          <t>Each shows a full impact preview listing what re-codes and what stays frozen.</t>
        </is>
      </c>
      <c r="F36" s="8" t="inlineStr">
        <is>
          <t>Must</t>
        </is>
      </c>
      <c r="G36" s="8" t="n">
        <v>8</v>
      </c>
      <c r="H36" s="8" t="inlineStr">
        <is>
          <t>S0</t>
        </is>
      </c>
      <c r="I36" s="8" t="inlineStr">
        <is>
          <t>Done</t>
        </is>
      </c>
      <c r="J36" s="8" t="inlineStr"/>
      <c r="K36" s="9" t="inlineStr">
        <is>
          <t>Built and tested on group Tissue</t>
        </is>
      </c>
      <c r="L36" s="36" t="inlineStr">
        <is>
          <t>Duplicate of D Engine's G3</t>
        </is>
      </c>
      <c r="M36" s="36" t="inlineStr">
        <is>
          <t>Single successful segment: 64 tool calls, 246,199 tokens, ~19.5 min.</t>
        </is>
      </c>
      <c r="N36" s="36" t="inlineStr">
        <is>
          <t>See D Engine row above - same story.</t>
        </is>
      </c>
      <c r="O36" s="36" t="inlineStr">
        <is>
          <t>N/A.</t>
        </is>
      </c>
      <c r="P36" s="36" t="inlineStr">
        <is>
          <t>F Master</t>
        </is>
      </c>
      <c r="Q36" s="36" t="inlineStr">
        <is>
          <t>Pre-existing, extended/re-verified</t>
        </is>
      </c>
      <c r="R36" s="36" t="inlineStr">
        <is>
          <t>Single successful segment: 64 tool calls, 246,199 tokens, ~19.5 min.</t>
        </is>
      </c>
      <c r="S36" s="36" t="inlineStr">
        <is>
          <t>Move/merge/retire/rename already worked with impact previews; updated for the new queue-claim numbering and re-verified against the exact worked example in the brief - moving group Tissue from House Keeping to Stationery still previews as 1 recode, 7 frozen, 041 freed.</t>
        </is>
      </c>
      <c r="T36" s="36" t="inlineStr">
        <is>
          <t>Also fixed a real, previously-latent bug while in this code: the old 'used numbers' query had no status='active' filter, so a retired group's number blocked forever and could never actually be claimed by anyone - discovered only because queue-claim made the bug's effect directly visible for the first time.</t>
        </is>
      </c>
      <c r="U36" s="36" t="inlineStr">
        <is>
          <t>F Master</t>
        </is>
      </c>
    </row>
    <row r="37" ht="30" customHeight="1">
      <c r="A37" s="4" t="inlineStr">
        <is>
          <t>K10</t>
        </is>
      </c>
      <c r="B37" s="4" t="inlineStr">
        <is>
          <t>F Master</t>
        </is>
      </c>
      <c r="C37" s="5" t="inlineStr">
        <is>
          <t>E6 Master &amp; Restructure</t>
        </is>
      </c>
      <c r="D37" s="5" t="inlineStr">
        <is>
          <t>Revert respects frozen codes</t>
        </is>
      </c>
      <c r="E37" s="5" t="inlineStr">
        <is>
          <t>A revert never rewrites a code that is live in ERPNext. It restores fields and says plainly what it could not restore.</t>
        </is>
      </c>
      <c r="F37" s="4" t="inlineStr">
        <is>
          <t>Must</t>
        </is>
      </c>
      <c r="G37" s="4" t="n">
        <v>5</v>
      </c>
      <c r="H37" s="4" t="inlineStr">
        <is>
          <t>R4</t>
        </is>
      </c>
      <c r="I37" s="4" t="inlineStr">
        <is>
          <t>Not started</t>
        </is>
      </c>
      <c r="J37" s="4" t="inlineStr">
        <is>
          <t>K8</t>
        </is>
      </c>
      <c r="K37" s="5" t="inlineStr">
        <is>
          <t>Where version control meets freeze-on-first-use</t>
        </is>
      </c>
      <c r="L37" s="36" t="inlineStr">
        <is>
          <t>Built &amp; verified</t>
        </is>
      </c>
      <c r="M37" s="36" t="inlineStr">
        <is>
          <t>Single successful segment: 64 tool calls, 246,199 tokens, ~19.5 min.</t>
        </is>
      </c>
      <c r="N37" s="36" t="inlineStr">
        <is>
          <t>The frozen-code revert interaction verified with a real in_erp item: restores every other field, explicitly refuses the code, and reports 'Restored 1 field. The code ... was not changed - it is live in ERPNext and is permanent' - matching the contract's example message almost verbatim.</t>
        </is>
      </c>
      <c r="O37" s="36" t="inlineStr">
        <is>
          <t>Caught a genuine bug during this exact testing: the first draft counted updated_at as a 'restored field' since that timestamp always differs from the target snapshot, and briefly wrote it backwards before being overwritten two lines later. Fixed by excluding it from the comparison. This is precisely the kind of silent over-claimed revert the brief warns about, caught only because a real revert was run against a real row and the field count was actually read, not just inspected by eye. Also: the seeded DB had no item with two different codes across its version history yet (the feature is brand new), so this exact path was proven with a fabricated fixture, deliberately reverted back to the true original afterward through the real snapshot/log path so the correction is itself an honest version, not a silent rewrite.</t>
        </is>
      </c>
      <c r="P37" s="36" t="inlineStr">
        <is>
          <t>F Master</t>
        </is>
      </c>
      <c r="Q37" s="36" t="inlineStr">
        <is>
          <t>Built &amp; verified</t>
        </is>
      </c>
      <c r="R37" s="36" t="inlineStr">
        <is>
          <t>Single successful segment: 64 tool calls, 246,199 tokens, ~19.5 min.</t>
        </is>
      </c>
      <c r="S37" s="36" t="inlineStr">
        <is>
          <t>The frozen-code revert interaction verified with a real in_erp item: restores every other field, explicitly refuses the code, and reports 'Restored 1 field. The code ... was not changed - it is live in ERPNext and is permanent' - matching the contract's example message almost verbatim.</t>
        </is>
      </c>
      <c r="T37" s="36" t="inlineStr">
        <is>
          <t>Caught a genuine bug during this exact testing: the first draft counted updated_at as a 'restored field' since that timestamp always differs from the target snapshot, and briefly wrote it backwards before being overwritten two lines later. Fixed by excluding it from the comparison. This is precisely the kind of silent over-claimed revert the brief warns about, caught only because a real revert was run against a real row and the field count was actually read, not just inspected by eye. Also: the seeded DB had no item with two different codes across its version history yet (the feature is brand new), so this exact path was proven with a fabricated fixture, deliberately reverted back to the true original afterward through the real snapshot/log path so the correction is itself an honest version, not a silent rewrite.</t>
        </is>
      </c>
      <c r="U37" s="36" t="inlineStr">
        <is>
          <t>F Master</t>
        </is>
      </c>
    </row>
    <row r="38" ht="30" customHeight="1">
      <c r="A38" s="8" t="inlineStr">
        <is>
          <t>G5</t>
        </is>
      </c>
      <c r="B38" s="8" t="inlineStr">
        <is>
          <t>F Master</t>
        </is>
      </c>
      <c r="C38" s="9" t="inlineStr">
        <is>
          <t>E6 Master &amp; Restructure</t>
        </is>
      </c>
      <c r="D38" s="9" t="inlineStr">
        <is>
          <t>Excel export</t>
        </is>
      </c>
      <c r="E38" s="9" t="inlineStr">
        <is>
          <t>Item_Master, Item_Code_Master, Code_Mapping and Audit_Trail in one workbook.</t>
        </is>
      </c>
      <c r="F38" s="8" t="inlineStr">
        <is>
          <t>Must</t>
        </is>
      </c>
      <c r="G38" s="8" t="n">
        <v>5</v>
      </c>
      <c r="H38" s="8" t="inlineStr">
        <is>
          <t>S0</t>
        </is>
      </c>
      <c r="I38" s="8" t="inlineStr">
        <is>
          <t>Done</t>
        </is>
      </c>
      <c r="J38" s="8" t="inlineStr"/>
      <c r="K38" s="9" t="inlineStr"/>
      <c r="L38" s="36" t="inlineStr">
        <is>
          <t>Pre-existing, kept working</t>
        </is>
      </c>
      <c r="M38" s="36" t="inlineStr">
        <is>
          <t>Single successful segment: 64 tool calls, 246,199 tokens, ~19.5 min.</t>
        </is>
      </c>
      <c r="N38" s="36" t="inlineStr">
        <is>
          <t>Excel export (four sheets) already existed; kept working unchanged through the whole master rebuild - sheet names and column shape untouched, as the brief required.</t>
        </is>
      </c>
      <c r="O38" s="36" t="inlineStr">
        <is>
          <t>None.</t>
        </is>
      </c>
      <c r="P38" s="36" t="inlineStr">
        <is>
          <t>F Master</t>
        </is>
      </c>
      <c r="Q38" s="36" t="inlineStr">
        <is>
          <t>Pre-existing, kept working</t>
        </is>
      </c>
      <c r="R38" s="36" t="inlineStr">
        <is>
          <t>Single successful segment: 64 tool calls, 246,199 tokens, ~19.5 min.</t>
        </is>
      </c>
      <c r="S38" s="36" t="inlineStr">
        <is>
          <t>Excel export (four sheets) already existed; kept working unchanged through the whole master rebuild - sheet names and column shape untouched, as the brief required.</t>
        </is>
      </c>
      <c r="T38" s="36" t="inlineStr">
        <is>
          <t>None.</t>
        </is>
      </c>
      <c r="U38" s="36" t="inlineStr">
        <is>
          <t>F Master</t>
        </is>
      </c>
    </row>
    <row r="39" ht="30" customHeight="1">
      <c r="A39" s="4" t="inlineStr">
        <is>
          <t>B1</t>
        </is>
      </c>
      <c r="B39" s="4" t="inlineStr">
        <is>
          <t>H Deploy</t>
        </is>
      </c>
      <c r="C39" s="5" t="inlineStr">
        <is>
          <t>E2 API v1</t>
        </is>
      </c>
      <c r="D39" s="5" t="inlineStr">
        <is>
          <t>Version and freeze the contract</t>
        </is>
      </c>
      <c r="E39" s="5" t="inlineStr">
        <is>
          <t>Everything served under /api/v1 exactly as the PDR documents it.</t>
        </is>
      </c>
      <c r="F39" s="4" t="inlineStr">
        <is>
          <t>Must</t>
        </is>
      </c>
      <c r="G39" s="4" t="n">
        <v>5</v>
      </c>
      <c r="H39" s="4" t="inlineStr">
        <is>
          <t>R5</t>
        </is>
      </c>
      <c r="I39" s="4" t="inlineStr">
        <is>
          <t>Not started</t>
        </is>
      </c>
      <c r="J39" s="4" t="inlineStr">
        <is>
          <t>A8</t>
        </is>
      </c>
      <c r="K39" s="5" t="inlineStr">
        <is>
          <t>So the larger system can build against it</t>
        </is>
      </c>
      <c r="L39" s="36" t="inlineStr">
        <is>
          <t>Built &amp; verified</t>
        </is>
      </c>
      <c r="M39" s="36" t="inlineStr">
        <is>
          <t>Final segment: 60 tool calls, 293,205 tokens, ~12 min (again, an earlier segment building the installer and starting VPS assets failed on the spend-limit before reporting usage).</t>
        </is>
      </c>
      <c r="N39" s="36" t="inlineStr">
        <is>
          <t>Every /api/v1 route across all six modules checked against ok()/err() usage - all correct. routes/meta.py's /api/docs is generated live from the actual route table on every request (method, path, and auth requirement via source introspection), not hand-maintained.</t>
        </is>
      </c>
      <c r="O39" s="36" t="inlineStr">
        <is>
          <t>None of note.</t>
        </is>
      </c>
      <c r="P39" s="36" t="inlineStr">
        <is>
          <t>H Deploy</t>
        </is>
      </c>
      <c r="Q39" s="36" t="inlineStr">
        <is>
          <t>Built &amp; verified</t>
        </is>
      </c>
      <c r="R39" s="36" t="inlineStr">
        <is>
          <t>Final segment: 60 tool calls, 293,205 tokens, ~12 min (again, an earlier segment building the installer and starting VPS assets failed on the spend-limit before reporting usage).</t>
        </is>
      </c>
      <c r="S39" s="36" t="inlineStr">
        <is>
          <t>Every /api/v1 route across all six modules checked against ok()/err() usage - all correct. routes/meta.py's /api/docs is generated live from the actual route table on every request (method, path, and auth requirement via source introspection), not hand-maintained.</t>
        </is>
      </c>
      <c r="T39" s="36" t="inlineStr">
        <is>
          <t>None of note.</t>
        </is>
      </c>
      <c r="U39" s="36" t="inlineStr">
        <is>
          <t>H Deploy</t>
        </is>
      </c>
    </row>
    <row r="40" ht="30" customHeight="1">
      <c r="A40" s="6" t="inlineStr">
        <is>
          <t>B2</t>
        </is>
      </c>
      <c r="B40" s="6" t="inlineStr">
        <is>
          <t>H Deploy</t>
        </is>
      </c>
      <c r="C40" s="7" t="inlineStr">
        <is>
          <t>E2 API v1</t>
        </is>
      </c>
      <c r="D40" s="7" t="inlineStr">
        <is>
          <t>Uniform error envelope</t>
        </is>
      </c>
      <c r="E40" s="7" t="inlineStr">
        <is>
          <t>Every failure returns ok:false with a stable machine code. No stack traces reach the client.</t>
        </is>
      </c>
      <c r="F40" s="6" t="inlineStr">
        <is>
          <t>Must</t>
        </is>
      </c>
      <c r="G40" s="6" t="n">
        <v>3</v>
      </c>
      <c r="H40" s="6" t="inlineStr">
        <is>
          <t>R5</t>
        </is>
      </c>
      <c r="I40" s="6" t="inlineStr">
        <is>
          <t>Not started</t>
        </is>
      </c>
      <c r="J40" s="6" t="inlineStr">
        <is>
          <t>B1</t>
        </is>
      </c>
      <c r="K40" s="7" t="inlineStr"/>
      <c r="L40" s="36" t="inlineStr">
        <is>
          <t>Built &amp; verified</t>
        </is>
      </c>
      <c r="M40" s="36" t="inlineStr">
        <is>
          <t>Final segment: 60 tool calls, 293,205 tokens, ~12 min (again, an earlier segment building the installer and starting VPS assets failed on the spend-limit before reporting usage).</t>
        </is>
      </c>
      <c r="N40" s="36" t="inlineStr">
        <is>
          <t>Uniform error envelope was Agent 0's foundational work, re-confirmed here as part of the full-system smoke suite (86/86 passing).</t>
        </is>
      </c>
      <c r="O40" s="36" t="inlineStr">
        <is>
          <t>None.</t>
        </is>
      </c>
      <c r="P40" s="36" t="inlineStr">
        <is>
          <t>H Deploy</t>
        </is>
      </c>
      <c r="Q40" s="36" t="inlineStr">
        <is>
          <t>Built &amp; verified</t>
        </is>
      </c>
      <c r="R40" s="36" t="inlineStr">
        <is>
          <t>Final segment: 60 tool calls, 293,205 tokens, ~12 min (again, an earlier segment building the installer and starting VPS assets failed on the spend-limit before reporting usage).</t>
        </is>
      </c>
      <c r="S40" s="36" t="inlineStr">
        <is>
          <t>Uniform error envelope was Agent 0's foundational work, re-confirmed here as part of the full-system smoke suite (86/86 passing).</t>
        </is>
      </c>
      <c r="T40" s="36" t="inlineStr">
        <is>
          <t>None.</t>
        </is>
      </c>
      <c r="U40" s="36" t="inlineStr">
        <is>
          <t>H Deploy</t>
        </is>
      </c>
    </row>
    <row r="41" ht="30" customHeight="1">
      <c r="A41" s="4" t="inlineStr">
        <is>
          <t>B3</t>
        </is>
      </c>
      <c r="B41" s="4" t="inlineStr">
        <is>
          <t>H Deploy</t>
        </is>
      </c>
      <c r="C41" s="5" t="inlineStr">
        <is>
          <t>E2 API v1</t>
        </is>
      </c>
      <c r="D41" s="5" t="inlineStr">
        <is>
          <t>Self-served API docs</t>
        </is>
      </c>
      <c r="E41" s="5" t="inlineStr">
        <is>
          <t>GET /api/docs lists every endpoint with request and response examples.</t>
        </is>
      </c>
      <c r="F41" s="4" t="inlineStr">
        <is>
          <t>Should</t>
        </is>
      </c>
      <c r="G41" s="4" t="n">
        <v>3</v>
      </c>
      <c r="H41" s="4" t="inlineStr">
        <is>
          <t>R5</t>
        </is>
      </c>
      <c r="I41" s="4" t="inlineStr">
        <is>
          <t>Not started</t>
        </is>
      </c>
      <c r="J41" s="4" t="inlineStr">
        <is>
          <t>B1</t>
        </is>
      </c>
      <c r="K41" s="5" t="inlineStr"/>
      <c r="L41" s="36" t="inlineStr">
        <is>
          <t>Built &amp; verified</t>
        </is>
      </c>
      <c r="M41" s="36" t="inlineStr">
        <is>
          <t>Final segment: 60 tool calls, 293,205 tokens, ~12 min (again, an earlier segment building the installer and starting VPS assets failed on the spend-limit before reporting usage).</t>
        </is>
      </c>
      <c r="N41" s="36" t="inlineStr">
        <is>
          <t>/api/docs live, HTML and ?format=json, generated from the route table so it can't go stale relative to the code actually running.</t>
        </is>
      </c>
      <c r="O41" s="36" t="inlineStr">
        <is>
          <t>None.</t>
        </is>
      </c>
      <c r="P41" s="36" t="inlineStr">
        <is>
          <t>H Deploy</t>
        </is>
      </c>
      <c r="Q41" s="36" t="inlineStr">
        <is>
          <t>Built &amp; verified</t>
        </is>
      </c>
      <c r="R41" s="36" t="inlineStr">
        <is>
          <t>Final segment: 60 tool calls, 293,205 tokens, ~12 min (again, an earlier segment building the installer and starting VPS assets failed on the spend-limit before reporting usage).</t>
        </is>
      </c>
      <c r="S41" s="36" t="inlineStr">
        <is>
          <t>/api/docs live, HTML and ?format=json, generated from the route table so it can't go stale relative to the code actually running.</t>
        </is>
      </c>
      <c r="T41" s="36" t="inlineStr">
        <is>
          <t>None.</t>
        </is>
      </c>
      <c r="U41" s="36" t="inlineStr">
        <is>
          <t>H Deploy</t>
        </is>
      </c>
    </row>
    <row r="42" ht="30" customHeight="1">
      <c r="A42" s="6" t="inlineStr">
        <is>
          <t>B4</t>
        </is>
      </c>
      <c r="B42" s="6" t="inlineStr">
        <is>
          <t>H Deploy</t>
        </is>
      </c>
      <c r="C42" s="7" t="inlineStr">
        <is>
          <t>E2 API v1</t>
        </is>
      </c>
      <c r="D42" s="7" t="inlineStr">
        <is>
          <t>Pagination and filtering</t>
        </is>
      </c>
      <c r="E42" s="7" t="inlineStr">
        <is>
          <t>List endpoints take q, limit, offset, status and return total alongside rows.</t>
        </is>
      </c>
      <c r="F42" s="6" t="inlineStr">
        <is>
          <t>Should</t>
        </is>
      </c>
      <c r="G42" s="6" t="n">
        <v>2</v>
      </c>
      <c r="H42" s="6" t="inlineStr">
        <is>
          <t>R5</t>
        </is>
      </c>
      <c r="I42" s="6" t="inlineStr">
        <is>
          <t>Not started</t>
        </is>
      </c>
      <c r="J42" s="6" t="inlineStr">
        <is>
          <t>B1</t>
        </is>
      </c>
      <c r="K42" s="7" t="inlineStr"/>
      <c r="L42" s="36" t="inlineStr">
        <is>
          <t>Pre-existing pattern, followed</t>
        </is>
      </c>
      <c r="M42" s="36" t="inlineStr">
        <is>
          <t>Final segment: 60 tool calls, 293,205 tokens, ~12 min (again, an earlier segment building the installer and starting VPS assets failed on the spend-limit before reporting usage).</t>
        </is>
      </c>
      <c r="N42" s="36" t="inlineStr">
        <is>
          <t>Pagination/filtering conventions (q, limit, offset, total alongside rows) were already established by earlier agents' work and consistently followed rather than separately built here.</t>
        </is>
      </c>
      <c r="O42" s="36" t="inlineStr">
        <is>
          <t>None.</t>
        </is>
      </c>
      <c r="P42" s="36" t="inlineStr">
        <is>
          <t>H Deploy</t>
        </is>
      </c>
      <c r="Q42" s="36" t="inlineStr">
        <is>
          <t>Pre-existing pattern, followed</t>
        </is>
      </c>
      <c r="R42" s="36" t="inlineStr">
        <is>
          <t>Final segment: 60 tool calls, 293,205 tokens, ~12 min (again, an earlier segment building the installer and starting VPS assets failed on the spend-limit before reporting usage).</t>
        </is>
      </c>
      <c r="S42" s="36" t="inlineStr">
        <is>
          <t>Pagination/filtering conventions (q, limit, offset, total alongside rows) were already established by earlier agents' work and consistently followed rather than separately built here.</t>
        </is>
      </c>
      <c r="T42" s="36" t="inlineStr">
        <is>
          <t>None.</t>
        </is>
      </c>
      <c r="U42" s="36" t="inlineStr">
        <is>
          <t>H Deploy</t>
        </is>
      </c>
    </row>
    <row r="43" ht="30" customHeight="1">
      <c r="A43" s="4" t="inlineStr">
        <is>
          <t>B6</t>
        </is>
      </c>
      <c r="B43" s="4" t="inlineStr">
        <is>
          <t>H Deploy</t>
        </is>
      </c>
      <c r="C43" s="5" t="inlineStr">
        <is>
          <t>E2 API v1</t>
        </is>
      </c>
      <c r="D43" s="5" t="inlineStr">
        <is>
          <t>Public endpoint hardening</t>
        </is>
      </c>
      <c r="E43" s="5" t="inlineStr">
        <is>
          <t>Payload caps and a simple per-IP rate limit on public reads.</t>
        </is>
      </c>
      <c r="F43" s="4" t="inlineStr">
        <is>
          <t>Should</t>
        </is>
      </c>
      <c r="G43" s="4" t="n">
        <v>2</v>
      </c>
      <c r="H43" s="4" t="inlineStr">
        <is>
          <t>R5</t>
        </is>
      </c>
      <c r="I43" s="4" t="inlineStr">
        <is>
          <t>Not started</t>
        </is>
      </c>
      <c r="J43" s="4" t="inlineStr">
        <is>
          <t>A8</t>
        </is>
      </c>
      <c r="K43" s="5" t="inlineStr"/>
      <c r="L43" s="36" t="inlineStr">
        <is>
          <t>Gap - flagged, not built</t>
        </is>
      </c>
      <c r="M43" s="36" t="inlineStr">
        <is>
          <t>Final segment: 60 tool calls, 293,205 tokens, ~12 min (again, an earlier segment building the installer and starting VPS assets failed on the spend-limit before reporting usage).</t>
        </is>
      </c>
      <c r="N43" s="36" t="inlineStr">
        <is>
          <t>Not built this session - no payload cap or per-IP rate limit was added to public read endpoints specifically (login rate-limiting exists, built by Agent B, but that's a different endpoint).</t>
        </is>
      </c>
      <c r="O43" s="36" t="inlineStr">
        <is>
          <t>Listed explicitly in HANDOVER.md's open-items list rather than silently skipped.</t>
        </is>
      </c>
      <c r="P43" s="36" t="inlineStr">
        <is>
          <t>H Deploy</t>
        </is>
      </c>
      <c r="Q43" s="36" t="inlineStr">
        <is>
          <t>Gap - flagged, not built</t>
        </is>
      </c>
      <c r="R43" s="36" t="inlineStr">
        <is>
          <t>Final segment: 60 tool calls, 293,205 tokens, ~12 min (again, an earlier segment building the installer and starting VPS assets failed on the spend-limit before reporting usage).</t>
        </is>
      </c>
      <c r="S43" s="36" t="inlineStr">
        <is>
          <t>Not built this session - no payload cap or per-IP rate limit was added to public read endpoints specifically (login rate-limiting exists, built by Agent B, but that's a different endpoint).</t>
        </is>
      </c>
      <c r="T43" s="36" t="inlineStr">
        <is>
          <t>Listed explicitly in HANDOVER.md's open-items list rather than silently skipped.</t>
        </is>
      </c>
      <c r="U43" s="36" t="inlineStr">
        <is>
          <t>H Deploy</t>
        </is>
      </c>
    </row>
    <row r="44" ht="30" customHeight="1">
      <c r="A44" s="6" t="inlineStr">
        <is>
          <t>B7</t>
        </is>
      </c>
      <c r="B44" s="6" t="inlineStr">
        <is>
          <t>H Deploy</t>
        </is>
      </c>
      <c r="C44" s="7" t="inlineStr">
        <is>
          <t>E2 API v1</t>
        </is>
      </c>
      <c r="D44" s="7" t="inlineStr">
        <is>
          <t>Smoke suite</t>
        </is>
      </c>
      <c r="E44" s="7" t="inlineStr">
        <is>
          <t>A stdlib script exercises every endpoint including auth failures and runs in under a minute.</t>
        </is>
      </c>
      <c r="F44" s="6" t="inlineStr">
        <is>
          <t>Must</t>
        </is>
      </c>
      <c r="G44" s="6" t="n">
        <v>5</v>
      </c>
      <c r="H44" s="6" t="inlineStr">
        <is>
          <t>R5</t>
        </is>
      </c>
      <c r="I44" s="6" t="inlineStr">
        <is>
          <t>Not started</t>
        </is>
      </c>
      <c r="J44" s="6" t="inlineStr">
        <is>
          <t>B2</t>
        </is>
      </c>
      <c r="K44" s="7" t="inlineStr"/>
      <c r="L44" s="36" t="inlineStr">
        <is>
          <t>Built &amp; verified</t>
        </is>
      </c>
      <c r="M44" s="36" t="inlineStr">
        <is>
          <t>Final segment: 60 tool calls, 293,205 tokens, ~12 min (again, an earlier segment building the installer and starting VPS assets failed on the spend-limit before reporting usage).</t>
        </is>
      </c>
      <c r="N44" s="36" t="inlineStr">
        <is>
          <t>tests/smoke.py: 86 stdlib-only checks, running against an already-live server in ~2 seconds (up to ~15s if it has to start its own). The full 401 sweep is driven dynamically off /api/docs's own route list so it can never go stale as routes change, rather than being a fixed list someone has to remember to update.</t>
        </is>
      </c>
      <c r="O44" s="36" t="inlineStr">
        <is>
          <t>None of note - explicitly called out in the brief as 'the single most valuable test here' and built accordingly.</t>
        </is>
      </c>
      <c r="P44" s="36" t="inlineStr">
        <is>
          <t>H Deploy</t>
        </is>
      </c>
      <c r="Q44" s="36" t="inlineStr">
        <is>
          <t>Built &amp; verified</t>
        </is>
      </c>
      <c r="R44" s="36" t="inlineStr">
        <is>
          <t>Final segment: 60 tool calls, 293,205 tokens, ~12 min (again, an earlier segment building the installer and starting VPS assets failed on the spend-limit before reporting usage).</t>
        </is>
      </c>
      <c r="S44" s="36" t="inlineStr">
        <is>
          <t>tests/smoke.py: 86 stdlib-only checks, running against an already-live server in ~2 seconds (up to ~15s if it has to start its own). The full 401 sweep is driven dynamically off /api/docs's own route list so it can never go stale as routes change, rather than being a fixed list someone has to remember to update.</t>
        </is>
      </c>
      <c r="T44" s="36" t="inlineStr">
        <is>
          <t>None of note - explicitly called out in the brief as 'the single most valuable test here' and built accordingly.</t>
        </is>
      </c>
      <c r="U44" s="36" t="inlineStr">
        <is>
          <t>H Deploy</t>
        </is>
      </c>
    </row>
    <row r="45" ht="30" customHeight="1">
      <c r="A45" s="4" t="inlineStr">
        <is>
          <t>J7</t>
        </is>
      </c>
      <c r="B45" s="4" t="inlineStr">
        <is>
          <t>H Deploy</t>
        </is>
      </c>
      <c r="C45" s="5" t="inlineStr">
        <is>
          <t>E9 Deploy &amp; Handover</t>
        </is>
      </c>
      <c r="D45" s="5" t="inlineStr">
        <is>
          <t>Deploy to the internal server</t>
        </is>
      </c>
      <c r="E45" s="5" t="inlineStr">
        <is>
          <t>Runs on the nominated machine, reachable by hostname on the LAN, starts on boot, survives a restart.</t>
        </is>
      </c>
      <c r="F45" s="4" t="inlineStr">
        <is>
          <t>Must</t>
        </is>
      </c>
      <c r="G45" s="4" t="n">
        <v>5</v>
      </c>
      <c r="H45" s="4" t="inlineStr">
        <is>
          <t>R5</t>
        </is>
      </c>
      <c r="I45" s="4" t="inlineStr">
        <is>
          <t>Not started</t>
        </is>
      </c>
      <c r="J45" s="4" t="inlineStr">
        <is>
          <t>B7</t>
        </is>
      </c>
      <c r="K45" s="5" t="inlineStr">
        <is>
          <t>Internal grade, not production grade</t>
        </is>
      </c>
      <c r="L45" s="36" t="inlineStr">
        <is>
          <t>Partially built - VPS assets ready, not deployed</t>
        </is>
      </c>
      <c r="M45" s="36" t="inlineStr">
        <is>
          <t>Final segment: 60 tool calls, 293,205 tokens, ~12 min (again, an earlier segment building the installer and starting VPS assets failed on the spend-limit before reporting usage).</t>
        </is>
      </c>
      <c r="N45" s="36" t="inlineStr">
        <is>
          <t>systemd unit (non-root, hardened, restart-on-failure), Caddyfile (automatic HTTPS, HTTP-&gt;HTTPS redirect, explicit HSTS) and a setup.sh all written, vendor-neutral, ready to run against any plain Linux box.</t>
        </is>
      </c>
      <c r="O45" s="36" t="inlineStr">
        <is>
          <t>Not run against a real machine - no host or domain has been confirmed by Anuraag yet, exactly as agents/README.md flags this as 'not urgent'. This is a correct, deliberate stop, not an oversight.</t>
        </is>
      </c>
      <c r="P45" s="36" t="inlineStr">
        <is>
          <t>H Deploy</t>
        </is>
      </c>
      <c r="Q45" s="36" t="inlineStr">
        <is>
          <t>Partially built - VPS assets ready, not deployed</t>
        </is>
      </c>
      <c r="R45" s="36" t="inlineStr">
        <is>
          <t>Final segment: 60 tool calls, 293,205 tokens, ~12 min (again, an earlier segment building the installer and starting VPS assets failed on the spend-limit before reporting usage).</t>
        </is>
      </c>
      <c r="S45" s="36" t="inlineStr">
        <is>
          <t>systemd unit (non-root, hardened, restart-on-failure), Caddyfile (automatic HTTPS, HTTP-&gt;HTTPS redirect, explicit HSTS) and a setup.sh all written, vendor-neutral, ready to run against any plain Linux box.</t>
        </is>
      </c>
      <c r="T45" s="36" t="inlineStr">
        <is>
          <t>Not run against a real machine - no host or domain has been confirmed by Anuraag yet, exactly as agents/README.md flags this as 'not urgent'. This is a correct, deliberate stop, not an oversight.</t>
        </is>
      </c>
      <c r="U45" s="36" t="inlineStr">
        <is>
          <t>H Deploy</t>
        </is>
      </c>
    </row>
    <row r="46" ht="30" customHeight="1">
      <c r="A46" s="6" t="inlineStr">
        <is>
          <t>J9</t>
        </is>
      </c>
      <c r="B46" s="6" t="inlineStr">
        <is>
          <t>H Deploy</t>
        </is>
      </c>
      <c r="C46" s="7" t="inlineStr">
        <is>
          <t>E9 Deploy &amp; Handover</t>
        </is>
      </c>
      <c r="D46" s="7" t="inlineStr">
        <is>
          <t>Client ledger mode</t>
        </is>
      </c>
      <c r="E46" s="7" t="inlineStr">
        <is>
          <t>A creator install in client mode reads and writes the ledger on the LAN host. Local OCR, matching and LLM stay local. Unreachable host gives a plain message, not a stack trace.</t>
        </is>
      </c>
      <c r="F46" s="6" t="inlineStr">
        <is>
          <t>Must</t>
        </is>
      </c>
      <c r="G46" s="6" t="n">
        <v>8</v>
      </c>
      <c r="H46" s="6" t="inlineStr">
        <is>
          <t>R5</t>
        </is>
      </c>
      <c r="I46" s="6" t="inlineStr">
        <is>
          <t>Not started</t>
        </is>
      </c>
      <c r="J46" s="6" t="inlineStr">
        <is>
          <t>Z3</t>
        </is>
      </c>
      <c r="K46" s="7" t="inlineStr">
        <is>
          <t>Keeps codes unique across installs</t>
        </is>
      </c>
      <c r="L46" s="36" t="inlineStr">
        <is>
          <t>Partially built - failover proven standalone, not fully wired</t>
        </is>
      </c>
      <c r="M46" s="36" t="inlineStr">
        <is>
          <t>Final segment: 60 tool calls, 293,205 tokens, ~12 min (again, an earlier segment building the installer and starting VPS assets failed on the spend-limit before reporting usage).</t>
        </is>
      </c>
      <c r="N46" s="36" t="inlineStr">
        <is>
          <t>core/tier.py built new: TierClient (tier1-&gt;tier2-&gt;offline resolution, ~1.5s timeout) and DictCache. Proven live this session with two real server processes on separate databases - killing and restarting one and watching the other correctly flip connected -&gt; local_failsafe -&gt; connected, firing reconciliation on the way back.</t>
        </is>
      </c>
      <c r="O46" s="36" t="inlineStr">
        <is>
          <t>Real, explicitly flagged gap: this isn't wired continuously into server.py yet - that's a documented few-line patch to a file Agent H doesn't own (Agent 0's). Left undone rather than editing it without coordinating first, per house rules, and the exact patch is written into core/tier.py's own docstring for whoever picks it up.</t>
        </is>
      </c>
      <c r="P46" s="36" t="inlineStr">
        <is>
          <t>H Deploy</t>
        </is>
      </c>
      <c r="Q46" s="36" t="inlineStr">
        <is>
          <t>Partially built - failover proven standalone, not fully wired</t>
        </is>
      </c>
      <c r="R46" s="36" t="inlineStr">
        <is>
          <t>Final segment: 60 tool calls, 293,205 tokens, ~12 min (again, an earlier segment building the installer and starting VPS assets failed on the spend-limit before reporting usage).</t>
        </is>
      </c>
      <c r="S46" s="36" t="inlineStr">
        <is>
          <t>core/tier.py built new: TierClient (tier1-&gt;tier2-&gt;offline resolution, ~1.5s timeout) and DictCache. Proven live this session with two real server processes on separate databases - killing and restarting one and watching the other correctly flip connected -&gt; local_failsafe -&gt; connected, firing reconciliation on the way back.</t>
        </is>
      </c>
      <c r="T46" s="36" t="inlineStr">
        <is>
          <t>Real, explicitly flagged gap: this isn't wired continuously into server.py yet - that's a documented few-line patch to a file Agent H doesn't own (Agent 0's). Left undone rather than editing it without coordinating first, per house rules, and the exact patch is written into core/tier.py's own docstring for whoever picks it up.</t>
        </is>
      </c>
      <c r="U46" s="36" t="inlineStr">
        <is>
          <t>H Deploy</t>
        </is>
      </c>
    </row>
    <row r="47" ht="30" customHeight="1">
      <c r="A47" s="4" t="inlineStr">
        <is>
          <t>J10</t>
        </is>
      </c>
      <c r="B47" s="4" t="inlineStr">
        <is>
          <t>H Deploy</t>
        </is>
      </c>
      <c r="C47" s="5" t="inlineStr">
        <is>
          <t>E9 Deploy &amp; Handover</t>
        </is>
      </c>
      <c r="D47" s="5" t="inlineStr">
        <is>
          <t>Local installer</t>
        </is>
      </c>
      <c r="E47" s="5" t="inlineStr">
        <is>
          <t>Copies the app, writes config, creates shortcuts, checks for Python, optional start-on-boot for the host. No admin rights, no pip, no internet.</t>
        </is>
      </c>
      <c r="F47" s="4" t="inlineStr">
        <is>
          <t>Must</t>
        </is>
      </c>
      <c r="G47" s="4" t="n">
        <v>8</v>
      </c>
      <c r="H47" s="4" t="inlineStr">
        <is>
          <t>R5</t>
        </is>
      </c>
      <c r="I47" s="4" t="inlineStr">
        <is>
          <t>Not started</t>
        </is>
      </c>
      <c r="J47" s="4" t="inlineStr">
        <is>
          <t>J9</t>
        </is>
      </c>
      <c r="K47" s="5" t="inlineStr">
        <is>
          <t>The app is installed locally now</t>
        </is>
      </c>
      <c r="L47" s="36" t="inlineStr">
        <is>
          <t>Built &amp; verified</t>
        </is>
      </c>
      <c r="M47" s="36" t="inlineStr">
        <is>
          <t>Final segment: 60 tool calls, 293,205 tokens, ~12 min (again, an earlier segment building the installer and starting VPS assets failed on the spend-limit before reporting usage).</t>
        </is>
      </c>
      <c r="N47" s="36" t="inlineStr">
        <is>
          <t>install/install.ps1 tested end to end: no admin rights, no pip install, checks Python (fails clearly if absent) and Tesseract (warns, continues), copies the app, writes config.json in client mode with zero secrets (verified by grep), creates Desktop and Start Menu shortcuts.</t>
        </is>
      </c>
      <c r="O47" s="36" t="inlineStr">
        <is>
          <t>Deliberately does not ship data/itemcode.db with the installer - an empty DB is a safer failure mode than a look-alike duplicate one, given client-mode ledger wiring (J9) isn't fully live yet. Documented, not silent.</t>
        </is>
      </c>
      <c r="P47" s="36" t="inlineStr">
        <is>
          <t>H Deploy</t>
        </is>
      </c>
      <c r="Q47" s="36" t="inlineStr">
        <is>
          <t>Built &amp; verified</t>
        </is>
      </c>
      <c r="R47" s="36" t="inlineStr">
        <is>
          <t>Final segment: 60 tool calls, 293,205 tokens, ~12 min (again, an earlier segment building the installer and starting VPS assets failed on the spend-limit before reporting usage).</t>
        </is>
      </c>
      <c r="S47" s="36" t="inlineStr">
        <is>
          <t>install/install.ps1 tested end to end: no admin rights, no pip install, checks Python (fails clearly if absent) and Tesseract (warns, continues), copies the app, writes config.json in client mode with zero secrets (verified by grep), creates Desktop and Start Menu shortcuts.</t>
        </is>
      </c>
      <c r="T47" s="36" t="inlineStr">
        <is>
          <t>Deliberately does not ship data/itemcode.db with the installer - an empty DB is a safer failure mode than a look-alike duplicate one, given client-mode ledger wiring (J9) isn't fully live yet. Documented, not silent.</t>
        </is>
      </c>
      <c r="U47" s="36" t="inlineStr">
        <is>
          <t>H Deploy</t>
        </is>
      </c>
    </row>
    <row r="48" ht="30" customHeight="1">
      <c r="A48" s="6" t="inlineStr">
        <is>
          <t>J2</t>
        </is>
      </c>
      <c r="B48" s="6" t="inlineStr">
        <is>
          <t>H Deploy</t>
        </is>
      </c>
      <c r="C48" s="7" t="inlineStr">
        <is>
          <t>E9 Deploy &amp; Handover</t>
        </is>
      </c>
      <c r="D48" s="7" t="inlineStr">
        <is>
          <t>Automated backup</t>
        </is>
      </c>
      <c r="E48" s="7" t="inlineStr">
        <is>
          <t>Daily copy of itemcode.db plus a weekly Excel export, both written off the host machine.</t>
        </is>
      </c>
      <c r="F48" s="6" t="inlineStr">
        <is>
          <t>Must</t>
        </is>
      </c>
      <c r="G48" s="6" t="n">
        <v>3</v>
      </c>
      <c r="H48" s="6" t="inlineStr">
        <is>
          <t>R5</t>
        </is>
      </c>
      <c r="I48" s="6" t="inlineStr">
        <is>
          <t>Not started</t>
        </is>
      </c>
      <c r="J48" s="6" t="inlineStr">
        <is>
          <t>J7</t>
        </is>
      </c>
      <c r="K48" s="7" t="inlineStr"/>
      <c r="L48" s="36" t="inlineStr">
        <is>
          <t>Built &amp; verified</t>
        </is>
      </c>
      <c r="M48" s="36" t="inlineStr">
        <is>
          <t>Final segment: 60 tool calls, 293,205 tokens, ~12 min (again, an earlier segment building the installer and starting VPS assets failed on the spend-limit before reporting usage).</t>
        </is>
      </c>
      <c r="N48" s="36" t="inlineStr">
        <is>
          <t>install/backup.py: WAL-safe backup via SQLite's own online-backup API (not a file copy), daily DB snapshot plus weekly Excel export into a Google-Drive-for-Desktop-synced folder, pruned to 14/8. Restore was actually tried, not just assumed - a real backup was restored into a scratch folder, opened as an independent connection, and its counts confirmed non-zero.</t>
        </is>
      </c>
      <c r="O48" s="36" t="inlineStr">
        <is>
          <t>The brief explicitly warned an unverified backup is a rumour - the restore test exists precisely because of that line.</t>
        </is>
      </c>
      <c r="P48" s="36" t="inlineStr">
        <is>
          <t>H Deploy</t>
        </is>
      </c>
      <c r="Q48" s="36" t="inlineStr">
        <is>
          <t>Built &amp; verified</t>
        </is>
      </c>
      <c r="R48" s="36" t="inlineStr">
        <is>
          <t>Final segment: 60 tool calls, 293,205 tokens, ~12 min (again, an earlier segment building the installer and starting VPS assets failed on the spend-limit before reporting usage).</t>
        </is>
      </c>
      <c r="S48" s="36" t="inlineStr">
        <is>
          <t>install/backup.py: WAL-safe backup via SQLite's own online-backup API (not a file copy), daily DB snapshot plus weekly Excel export into a Google-Drive-for-Desktop-synced folder, pruned to 14/8. Restore was actually tried, not just assumed - a real backup was restored into a scratch folder, opened as an independent connection, and its counts confirmed non-zero.</t>
        </is>
      </c>
      <c r="T48" s="36" t="inlineStr">
        <is>
          <t>The brief explicitly warned an unverified backup is a rumour - the restore test exists precisely because of that line.</t>
        </is>
      </c>
      <c r="U48" s="36" t="inlineStr">
        <is>
          <t>H Deploy</t>
        </is>
      </c>
    </row>
    <row r="49" ht="30" customHeight="1">
      <c r="A49" s="4" t="inlineStr">
        <is>
          <t>J8</t>
        </is>
      </c>
      <c r="B49" s="4" t="inlineStr">
        <is>
          <t>H Deploy</t>
        </is>
      </c>
      <c r="C49" s="5" t="inlineStr">
        <is>
          <t>E9 Deploy &amp; Handover</t>
        </is>
      </c>
      <c r="D49" s="5" t="inlineStr">
        <is>
          <t>Seed and go-live check</t>
        </is>
      </c>
      <c r="E49" s="5" t="inlineStr">
        <is>
          <t>Fresh seed from the source workbooks on the server; counts match; a code is issued end to end.</t>
        </is>
      </c>
      <c r="F49" s="4" t="inlineStr">
        <is>
          <t>Must</t>
        </is>
      </c>
      <c r="G49" s="4" t="n">
        <v>3</v>
      </c>
      <c r="H49" s="4" t="inlineStr">
        <is>
          <t>R5</t>
        </is>
      </c>
      <c r="I49" s="4" t="inlineStr">
        <is>
          <t>Not started</t>
        </is>
      </c>
      <c r="J49" s="4" t="inlineStr">
        <is>
          <t>J7</t>
        </is>
      </c>
      <c r="K49" s="5" t="inlineStr"/>
      <c r="L49" s="36" t="inlineStr">
        <is>
          <t>Built &amp; verified</t>
        </is>
      </c>
      <c r="M49" s="36" t="inlineStr">
        <is>
          <t>Final segment: 60 tool calls, 293,205 tokens, ~12 min (again, an earlier segment building the installer and starting VPS assets failed on the spend-limit before reporting usage).</t>
        </is>
      </c>
      <c r="N49" s="36" t="inlineStr">
        <is>
          <t>seed.py --rebuild rerun as part of the full integration checklist; counts confirmed at the documented baseline (889/1,947/2,677); a code issued end to end live over the real API as part of the same run.</t>
        </is>
      </c>
      <c r="O49" s="36" t="inlineStr">
        <is>
          <t>None beyond the pre-existing seed non-determinism flagged under Z1.</t>
        </is>
      </c>
      <c r="P49" s="36" t="inlineStr">
        <is>
          <t>H Deploy</t>
        </is>
      </c>
      <c r="Q49" s="36" t="inlineStr">
        <is>
          <t>Built &amp; verified</t>
        </is>
      </c>
      <c r="R49" s="36" t="inlineStr">
        <is>
          <t>Final segment: 60 tool calls, 293,205 tokens, ~12 min (again, an earlier segment building the installer and starting VPS assets failed on the spend-limit before reporting usage).</t>
        </is>
      </c>
      <c r="S49" s="36" t="inlineStr">
        <is>
          <t>seed.py --rebuild rerun as part of the full integration checklist; counts confirmed at the documented baseline (889/1,947/2,677); a code issued end to end live over the real API as part of the same run.</t>
        </is>
      </c>
      <c r="T49" s="36" t="inlineStr">
        <is>
          <t>None beyond the pre-existing seed non-determinism flagged under Z1.</t>
        </is>
      </c>
      <c r="U49" s="36" t="inlineStr">
        <is>
          <t>H Deploy</t>
        </is>
      </c>
    </row>
    <row r="50" ht="30" customHeight="1">
      <c r="A50" s="8" t="inlineStr">
        <is>
          <t>C1</t>
        </is>
      </c>
      <c r="B50" s="8" t="inlineStr">
        <is>
          <t>D Engine</t>
        </is>
      </c>
      <c r="C50" s="9" t="inlineStr">
        <is>
          <t>E3 Code Engine</t>
        </is>
      </c>
      <c r="D50" s="9" t="inlineStr">
        <is>
          <t>Code grammar assembly</t>
        </is>
      </c>
      <c r="E50" s="9" t="inlineStr">
        <is>
          <t>Interior gap 00, trailing gaps dropped, vendor forces 17. Only 7/9/11/13/15/17 accepted.</t>
        </is>
      </c>
      <c r="F50" s="8" t="inlineStr">
        <is>
          <t>Must</t>
        </is>
      </c>
      <c r="G50" s="8" t="n">
        <v>8</v>
      </c>
      <c r="H50" s="8" t="inlineStr">
        <is>
          <t>S0</t>
        </is>
      </c>
      <c r="I50" s="8" t="inlineStr">
        <is>
          <t>Done</t>
        </is>
      </c>
      <c r="J50" s="8" t="inlineStr"/>
      <c r="K50" s="9" t="inlineStr">
        <is>
          <t>Verified against RMBS0010206100007</t>
        </is>
      </c>
      <c r="L50" s="36" t="inlineStr">
        <is>
          <t>Pre-existing, re-verified</t>
        </is>
      </c>
      <c r="M50" s="36" t="inlineStr">
        <is>
          <t>Single successful segment: 61 tool calls, 199,839 tokens, ~17 min.</t>
        </is>
      </c>
      <c r="N50" s="36" t="inlineStr">
        <is>
          <t>Code grammar (assemble/parse) already correct; re-verified against RMBS0010206100007 after every change this session.</t>
        </is>
      </c>
      <c r="O50" s="36" t="inlineStr">
        <is>
          <t>None.</t>
        </is>
      </c>
      <c r="P50" s="36" t="inlineStr">
        <is>
          <t>D Engine</t>
        </is>
      </c>
      <c r="Q50" s="36" t="inlineStr">
        <is>
          <t>Pre-existing, re-verified</t>
        </is>
      </c>
      <c r="R50" s="36" t="inlineStr">
        <is>
          <t>Single successful segment: 61 tool calls, 199,839 tokens, ~17 min.</t>
        </is>
      </c>
      <c r="S50" s="36" t="inlineStr">
        <is>
          <t>Code grammar (assemble/parse) already correct; re-verified against RMBS0010206100007 after every change this session.</t>
        </is>
      </c>
      <c r="T50" s="36" t="inlineStr">
        <is>
          <t>None.</t>
        </is>
      </c>
      <c r="U50" s="36" t="inlineStr">
        <is>
          <t>D Engine</t>
        </is>
      </c>
    </row>
    <row r="51" ht="30" customHeight="1">
      <c r="A51" s="8" t="inlineStr">
        <is>
          <t>C2</t>
        </is>
      </c>
      <c r="B51" s="8" t="inlineStr">
        <is>
          <t>D Engine</t>
        </is>
      </c>
      <c r="C51" s="9" t="inlineStr">
        <is>
          <t>E3 Code Engine</t>
        </is>
      </c>
      <c r="D51" s="9" t="inlineStr">
        <is>
          <t>Three-phase resolver</t>
        </is>
      </c>
      <c r="E51" s="9" t="inlineStr">
        <is>
          <t>Phase 1 stops on an existing code; phase 2 resolves head/sub-head/group; phase 3 resolves specs and vendor.</t>
        </is>
      </c>
      <c r="F51" s="8" t="inlineStr">
        <is>
          <t>Must</t>
        </is>
      </c>
      <c r="G51" s="8" t="n">
        <v>13</v>
      </c>
      <c r="H51" s="8" t="inlineStr">
        <is>
          <t>S0</t>
        </is>
      </c>
      <c r="I51" s="8" t="inlineStr">
        <is>
          <t>Done</t>
        </is>
      </c>
      <c r="J51" s="8" t="inlineStr">
        <is>
          <t>C1</t>
        </is>
      </c>
      <c r="K51" s="9" t="inlineStr"/>
      <c r="L51" s="36" t="inlineStr">
        <is>
          <t>Pre-existing, untouched</t>
        </is>
      </c>
      <c r="M51" s="36" t="inlineStr">
        <is>
          <t>Single successful segment: 61 tool calls, 199,839 tokens, ~17 min.</t>
        </is>
      </c>
      <c r="N51" s="36" t="inlineStr">
        <is>
          <t>Three-phase resolver already existed structurally; Agent C rewrote its internals (see D9) without changing this phase boundary.</t>
        </is>
      </c>
      <c r="O51" s="36" t="inlineStr">
        <is>
          <t>None beyond what D9 covers.</t>
        </is>
      </c>
      <c r="P51" s="36" t="inlineStr">
        <is>
          <t>D Engine</t>
        </is>
      </c>
      <c r="Q51" s="36" t="inlineStr">
        <is>
          <t>Pre-existing, untouched</t>
        </is>
      </c>
      <c r="R51" s="36" t="inlineStr">
        <is>
          <t>Single successful segment: 61 tool calls, 199,839 tokens, ~17 min.</t>
        </is>
      </c>
      <c r="S51" s="36" t="inlineStr">
        <is>
          <t>Three-phase resolver already existed structurally; Agent C rewrote its internals (see D9) without changing this phase boundary.</t>
        </is>
      </c>
      <c r="T51" s="36" t="inlineStr">
        <is>
          <t>None beyond what D9 covers.</t>
        </is>
      </c>
      <c r="U51" s="36" t="inlineStr">
        <is>
          <t>D Engine</t>
        </is>
      </c>
    </row>
    <row r="52" ht="30" customHeight="1">
      <c r="A52" s="8" t="inlineStr">
        <is>
          <t>C3</t>
        </is>
      </c>
      <c r="B52" s="8" t="inlineStr">
        <is>
          <t>D Engine</t>
        </is>
      </c>
      <c r="C52" s="9" t="inlineStr">
        <is>
          <t>E3 Code Engine</t>
        </is>
      </c>
      <c r="D52" s="9" t="inlineStr">
        <is>
          <t>Prefix collision ladder</t>
        </is>
      </c>
      <c r="E52" s="9" t="inlineStr">
        <is>
          <t>A taken 4-letter prefix walks to the next free combination, checked against groups and live ERP codes.</t>
        </is>
      </c>
      <c r="F52" s="8" t="inlineStr">
        <is>
          <t>Must</t>
        </is>
      </c>
      <c r="G52" s="8" t="n">
        <v>3</v>
      </c>
      <c r="H52" s="8" t="inlineStr">
        <is>
          <t>S0</t>
        </is>
      </c>
      <c r="I52" s="8" t="inlineStr">
        <is>
          <t>Done</t>
        </is>
      </c>
      <c r="J52" s="8" t="inlineStr">
        <is>
          <t>C1</t>
        </is>
      </c>
      <c r="K52" s="9" t="inlineStr">
        <is>
          <t>CEEU preserved as seeded</t>
        </is>
      </c>
      <c r="L52" s="36" t="inlineStr">
        <is>
          <t>Pre-existing, untouched</t>
        </is>
      </c>
      <c r="M52" s="36" t="inlineStr">
        <is>
          <t>Single successful segment: 61 tool calls, 199,839 tokens, ~17 min.</t>
        </is>
      </c>
      <c r="N52" s="36" t="inlineStr">
        <is>
          <t>Prefix collision ladder already existed and was not touched.</t>
        </is>
      </c>
      <c r="O52" s="36" t="inlineStr">
        <is>
          <t>None.</t>
        </is>
      </c>
      <c r="P52" s="36" t="inlineStr">
        <is>
          <t>D Engine</t>
        </is>
      </c>
      <c r="Q52" s="36" t="inlineStr">
        <is>
          <t>Pre-existing, untouched</t>
        </is>
      </c>
      <c r="R52" s="36" t="inlineStr">
        <is>
          <t>Single successful segment: 61 tool calls, 199,839 tokens, ~17 min.</t>
        </is>
      </c>
      <c r="S52" s="36" t="inlineStr">
        <is>
          <t>Prefix collision ladder already existed and was not touched.</t>
        </is>
      </c>
      <c r="T52" s="36" t="inlineStr">
        <is>
          <t>None.</t>
        </is>
      </c>
      <c r="U52" s="36" t="inlineStr">
        <is>
          <t>D Engine</t>
        </is>
      </c>
    </row>
    <row r="53" ht="30" customHeight="1">
      <c r="A53" s="8" t="inlineStr">
        <is>
          <t>C4</t>
        </is>
      </c>
      <c r="B53" s="8" t="inlineStr">
        <is>
          <t>D Engine</t>
        </is>
      </c>
      <c r="C53" s="9" t="inlineStr">
        <is>
          <t>E3 Code Engine</t>
        </is>
      </c>
      <c r="D53" s="9" t="inlineStr">
        <is>
          <t>Per-sub-head numbering and vacancies</t>
        </is>
      </c>
      <c r="E53" s="9" t="inlineStr">
        <is>
          <t>Numbers restart per sub-head. A moved group's number is parked, released only to a &gt;=88% name match.</t>
        </is>
      </c>
      <c r="F53" s="8" t="inlineStr">
        <is>
          <t>Must</t>
        </is>
      </c>
      <c r="G53" s="8" t="n">
        <v>5</v>
      </c>
      <c r="H53" s="8" t="inlineStr">
        <is>
          <t>S0</t>
        </is>
      </c>
      <c r="I53" s="8" t="inlineStr">
        <is>
          <t>Done</t>
        </is>
      </c>
      <c r="J53" s="8" t="inlineStr">
        <is>
          <t>C1</t>
        </is>
      </c>
      <c r="K53" s="9" t="inlineStr">
        <is>
          <t>Your rule</t>
        </is>
      </c>
      <c r="L53" s="36" t="inlineStr">
        <is>
          <t>Built &amp; verified (design reversed)</t>
        </is>
      </c>
      <c r="M53" s="36" t="inlineStr">
        <is>
          <t>Single successful segment: 61 tool calls, 199,839 tokens, ~17 min.</t>
        </is>
      </c>
      <c r="N53" s="36" t="inlineStr">
        <is>
          <t>Same story as K11 from the other side of the code: next_group_code lost its matcher/group_name parameters and the &gt;=88% semantic path entirely, replaced with pure lowest-free queue-claim.</t>
        </is>
      </c>
      <c r="O53" s="36" t="inlineStr">
        <is>
          <t>This row's own acceptance text ('released only to a &gt;=88% name match') is the design being explicitly reversed - flagged here again since this is the row most directly contradicted by CONTRACTS.md decision #5. Worth Anuraag's attention that this plan document itself is now stale on this specific point.</t>
        </is>
      </c>
      <c r="P53" s="36" t="inlineStr">
        <is>
          <t>D Engine</t>
        </is>
      </c>
      <c r="Q53" s="36" t="inlineStr">
        <is>
          <t>Built &amp; verified (design reversed)</t>
        </is>
      </c>
      <c r="R53" s="36" t="inlineStr">
        <is>
          <t>Single successful segment: 61 tool calls, 199,839 tokens, ~17 min.</t>
        </is>
      </c>
      <c r="S53" s="36" t="inlineStr">
        <is>
          <t>Same story as K11 from the other side of the code: next_group_code lost its matcher/group_name parameters and the &gt;=88% semantic path entirely, replaced with pure lowest-free queue-claim.</t>
        </is>
      </c>
      <c r="T53" s="36" t="inlineStr">
        <is>
          <t>This row's own acceptance text ('released only to a &gt;=88% name match') is the design being explicitly reversed - flagged here again since this is the row most directly contradicted by CONTRACTS.md decision #5. Worth Anuraag's attention that this plan document itself is now stale on this specific point.</t>
        </is>
      </c>
      <c r="U53" s="36" t="inlineStr">
        <is>
          <t>D Engine</t>
        </is>
      </c>
    </row>
    <row r="54" ht="30" customHeight="1">
      <c r="A54" s="8" t="inlineStr">
        <is>
          <t>C5</t>
        </is>
      </c>
      <c r="B54" s="8" t="inlineStr">
        <is>
          <t>D Engine</t>
        </is>
      </c>
      <c r="C54" s="9" t="inlineStr">
        <is>
          <t>E3 Code Engine</t>
        </is>
      </c>
      <c r="D54" s="9" t="inlineStr">
        <is>
          <t>Freeze on first use</t>
        </is>
      </c>
      <c r="E54" s="9" t="inlineStr">
        <is>
          <t>A code live in ERPNext is never rewritten by a structural change; it is kept and flagged stale.</t>
        </is>
      </c>
      <c r="F54" s="8" t="inlineStr">
        <is>
          <t>Must</t>
        </is>
      </c>
      <c r="G54" s="8" t="n">
        <v>5</v>
      </c>
      <c r="H54" s="8" t="inlineStr">
        <is>
          <t>S0</t>
        </is>
      </c>
      <c r="I54" s="8" t="inlineStr">
        <is>
          <t>Done</t>
        </is>
      </c>
      <c r="J54" s="8" t="inlineStr">
        <is>
          <t>C4</t>
        </is>
      </c>
      <c r="K54" s="9" t="inlineStr">
        <is>
          <t>Needs your confirmation</t>
        </is>
      </c>
      <c r="L54" s="36" t="inlineStr">
        <is>
          <t>Pre-existing, re-verified</t>
        </is>
      </c>
      <c r="M54" s="36" t="inlineStr">
        <is>
          <t>Single successful segment: 61 tool calls, 199,839 tokens, ~17 min.</t>
        </is>
      </c>
      <c r="N54" s="36" t="inlineStr">
        <is>
          <t>Freeze-on-first-use already existed; re-verified this session (an ERPNext-live item frees nothing on a move, confirmed against real seeded data).</t>
        </is>
      </c>
      <c r="O54" s="36" t="inlineStr">
        <is>
          <t>None.</t>
        </is>
      </c>
      <c r="P54" s="36" t="inlineStr">
        <is>
          <t>D Engine</t>
        </is>
      </c>
      <c r="Q54" s="36" t="inlineStr">
        <is>
          <t>Pre-existing, re-verified</t>
        </is>
      </c>
      <c r="R54" s="36" t="inlineStr">
        <is>
          <t>Single successful segment: 61 tool calls, 199,839 tokens, ~17 min.</t>
        </is>
      </c>
      <c r="S54" s="36" t="inlineStr">
        <is>
          <t>Freeze-on-first-use already existed; re-verified this session (an ERPNext-live item frees nothing on a move, confirmed against real seeded data).</t>
        </is>
      </c>
      <c r="T54" s="36" t="inlineStr">
        <is>
          <t>None.</t>
        </is>
      </c>
      <c r="U54" s="36" t="inlineStr">
        <is>
          <t>D Engine</t>
        </is>
      </c>
    </row>
    <row r="55" ht="30" customHeight="1">
      <c r="A55" s="8" t="inlineStr">
        <is>
          <t>C6</t>
        </is>
      </c>
      <c r="B55" s="8" t="inlineStr">
        <is>
          <t>D Engine</t>
        </is>
      </c>
      <c r="C55" s="9" t="inlineStr">
        <is>
          <t>E3 Code Engine</t>
        </is>
      </c>
      <c r="D55" s="9" t="inlineStr">
        <is>
          <t>Decoder with per-group labels</t>
        </is>
      </c>
      <c r="E55" s="9" t="inlineStr">
        <is>
          <t>Decode reports each slot's meaning for that group, and 00 as not applicable.</t>
        </is>
      </c>
      <c r="F55" s="8" t="inlineStr">
        <is>
          <t>Must</t>
        </is>
      </c>
      <c r="G55" s="8" t="n">
        <v>3</v>
      </c>
      <c r="H55" s="8" t="inlineStr">
        <is>
          <t>S0</t>
        </is>
      </c>
      <c r="I55" s="8" t="inlineStr">
        <is>
          <t>Done</t>
        </is>
      </c>
      <c r="J55" s="8" t="inlineStr">
        <is>
          <t>C1</t>
        </is>
      </c>
      <c r="K55" s="9" t="inlineStr"/>
      <c r="L55" s="36" t="inlineStr">
        <is>
          <t>Pre-existing, re-verified</t>
        </is>
      </c>
      <c r="M55" s="36" t="inlineStr">
        <is>
          <t>Single successful segment: 61 tool calls, 199,839 tokens, ~17 min.</t>
        </is>
      </c>
      <c r="N55" s="36" t="inlineStr">
        <is>
          <t>Per-group decoder labels already existed; re-verified live in-browser (not just via API) that the same slot number reads differently for different groups.</t>
        </is>
      </c>
      <c r="O55" s="36" t="inlineStr">
        <is>
          <t>None.</t>
        </is>
      </c>
      <c r="P55" s="36" t="inlineStr">
        <is>
          <t>D Engine</t>
        </is>
      </c>
      <c r="Q55" s="36" t="inlineStr">
        <is>
          <t>Pre-existing, re-verified</t>
        </is>
      </c>
      <c r="R55" s="36" t="inlineStr">
        <is>
          <t>Single successful segment: 61 tool calls, 199,839 tokens, ~17 min.</t>
        </is>
      </c>
      <c r="S55" s="36" t="inlineStr">
        <is>
          <t>Per-group decoder labels already existed; re-verified live in-browser (not just via API) that the same slot number reads differently for different groups.</t>
        </is>
      </c>
      <c r="T55" s="36" t="inlineStr">
        <is>
          <t>None.</t>
        </is>
      </c>
      <c r="U55" s="36" t="inlineStr">
        <is>
          <t>D Engine</t>
        </is>
      </c>
    </row>
    <row r="56" ht="30" customHeight="1">
      <c r="A56" s="8" t="inlineStr">
        <is>
          <t>C7</t>
        </is>
      </c>
      <c r="B56" s="8" t="inlineStr">
        <is>
          <t>D Engine</t>
        </is>
      </c>
      <c r="C56" s="9" t="inlineStr">
        <is>
          <t>E3 Code Engine</t>
        </is>
      </c>
      <c r="D56" s="9" t="inlineStr">
        <is>
          <t>Ambiguous spec is a question</t>
        </is>
      </c>
      <c r="E56" s="9" t="inlineStr">
        <is>
          <t>A declared slot with no determinable value blocks submission; it is never auto-numbered.</t>
        </is>
      </c>
      <c r="F56" s="8" t="inlineStr">
        <is>
          <t>Must</t>
        </is>
      </c>
      <c r="G56" s="8" t="n">
        <v>3</v>
      </c>
      <c r="H56" s="8" t="inlineStr">
        <is>
          <t>S0</t>
        </is>
      </c>
      <c r="I56" s="8" t="inlineStr">
        <is>
          <t>Done</t>
        </is>
      </c>
      <c r="J56" s="8" t="inlineStr">
        <is>
          <t>C2</t>
        </is>
      </c>
      <c r="K56" s="9" t="inlineStr">
        <is>
          <t>Caught a real collision</t>
        </is>
      </c>
      <c r="L56" s="36" t="inlineStr">
        <is>
          <t>Pre-existing, untouched</t>
        </is>
      </c>
      <c r="M56" s="36" t="inlineStr">
        <is>
          <t>Single successful segment: 61 tool calls, 199,839 tokens, ~17 min.</t>
        </is>
      </c>
      <c r="N56" s="36" t="inlineStr">
        <is>
          <t>Already correctly treated an undetermined slot as a blocker, never an auto-allocated number; the D9 rewrite preserved this and fixed one edge case where a slot could mis-inherit an 'operator' label (see D9).</t>
        </is>
      </c>
      <c r="O56" s="36" t="inlineStr">
        <is>
          <t>None beyond what D9 covers.</t>
        </is>
      </c>
      <c r="P56" s="36" t="inlineStr">
        <is>
          <t>D Engine</t>
        </is>
      </c>
      <c r="Q56" s="36" t="inlineStr">
        <is>
          <t>Pre-existing, untouched</t>
        </is>
      </c>
      <c r="R56" s="36" t="inlineStr">
        <is>
          <t>Single successful segment: 61 tool calls, 199,839 tokens, ~17 min.</t>
        </is>
      </c>
      <c r="S56" s="36" t="inlineStr">
        <is>
          <t>Already correctly treated an undetermined slot as a blocker, never an auto-allocated number; the D9 rewrite preserved this and fixed one edge case where a slot could mis-inherit an 'operator' label (see D9).</t>
        </is>
      </c>
      <c r="T56" s="36" t="inlineStr">
        <is>
          <t>None beyond what D9 covers.</t>
        </is>
      </c>
      <c r="U56" s="36" t="inlineStr">
        <is>
          <t>D Engine</t>
        </is>
      </c>
    </row>
    <row r="57" ht="30" customHeight="1">
      <c r="A57" s="8" t="inlineStr">
        <is>
          <t>D1</t>
        </is>
      </c>
      <c r="B57" s="8" t="inlineStr">
        <is>
          <t>C Matching</t>
        </is>
      </c>
      <c r="C57" s="9" t="inlineStr">
        <is>
          <t>E4 Matching &amp; LLM</t>
        </is>
      </c>
      <c r="D57" s="9" t="inlineStr">
        <is>
          <t>Deterministic normaliser</t>
        </is>
      </c>
      <c r="E57" s="9" t="inlineStr">
        <is>
          <t>Units, casing, punctuation, synonyms and noise words folded before scoring.</t>
        </is>
      </c>
      <c r="F57" s="8" t="inlineStr">
        <is>
          <t>Must</t>
        </is>
      </c>
      <c r="G57" s="8" t="n">
        <v>5</v>
      </c>
      <c r="H57" s="8" t="inlineStr">
        <is>
          <t>S0</t>
        </is>
      </c>
      <c r="I57" s="8" t="inlineStr">
        <is>
          <t>Done</t>
        </is>
      </c>
      <c r="J57" s="8" t="inlineStr"/>
      <c r="K57" s="9" t="inlineStr"/>
      <c r="L57" s="36" t="inlineStr">
        <is>
          <t>Pre-existing, untouched</t>
        </is>
      </c>
      <c r="M57" s="36" t="inlineStr">
        <is>
          <t>Final successful segment: 42 tool calls, 155,998 tokens, ~11.7hr elapsed (includes idle/queued time between resumes, not continuous active work).</t>
        </is>
      </c>
      <c r="N57" s="36" t="inlineStr">
        <is>
          <t>Deterministic normaliser already existed and worked correctly; not touched this session beyond being kept as the rules foundation the LLM-first rewrite now sits on top of.</t>
        </is>
      </c>
      <c r="O57" s="36" t="inlineStr">
        <is>
          <t>None - correctly left alone.</t>
        </is>
      </c>
      <c r="P57" s="36" t="inlineStr">
        <is>
          <t>C Matching</t>
        </is>
      </c>
      <c r="Q57" s="36" t="inlineStr">
        <is>
          <t>Pre-existing, untouched</t>
        </is>
      </c>
      <c r="R57" s="36" t="inlineStr">
        <is>
          <t>Final successful segment: 42 tool calls, 155,998 tokens, ~11.7hr elapsed (includes idle/queued time between resumes, not continuous active work).</t>
        </is>
      </c>
      <c r="S57" s="36" t="inlineStr">
        <is>
          <t>Deterministic normaliser already existed and worked correctly; not touched this session beyond being kept as the rules foundation the LLM-first rewrite now sits on top of.</t>
        </is>
      </c>
      <c r="T57" s="36" t="inlineStr">
        <is>
          <t>None - correctly left alone.</t>
        </is>
      </c>
      <c r="U57" s="36" t="inlineStr">
        <is>
          <t>C Matching</t>
        </is>
      </c>
    </row>
    <row r="58" ht="30" customHeight="1">
      <c r="A58" s="8" t="inlineStr">
        <is>
          <t>D2</t>
        </is>
      </c>
      <c r="B58" s="8" t="inlineStr">
        <is>
          <t>C Matching</t>
        </is>
      </c>
      <c r="C58" s="9" t="inlineStr">
        <is>
          <t>E4 Matching &amp; LLM</t>
        </is>
      </c>
      <c r="D58" s="9" t="inlineStr">
        <is>
          <t>Blended fuzzy scorer</t>
        </is>
      </c>
      <c r="E58" s="9" t="inlineStr">
        <is>
          <t>0.45 token-set + 0.30 token-sort + 0.25 soft-Jaccard.</t>
        </is>
      </c>
      <c r="F58" s="8" t="inlineStr">
        <is>
          <t>Must</t>
        </is>
      </c>
      <c r="G58" s="8" t="n">
        <v>5</v>
      </c>
      <c r="H58" s="8" t="inlineStr">
        <is>
          <t>S0</t>
        </is>
      </c>
      <c r="I58" s="8" t="inlineStr">
        <is>
          <t>Done</t>
        </is>
      </c>
      <c r="J58" s="8" t="inlineStr">
        <is>
          <t>D1</t>
        </is>
      </c>
      <c r="K58" s="9" t="inlineStr">
        <is>
          <t>Single-metric gave a false 100%</t>
        </is>
      </c>
      <c r="L58" s="36" t="inlineStr">
        <is>
          <t>Pre-existing, extended/re-verified</t>
        </is>
      </c>
      <c r="M58" s="36" t="inlineStr">
        <is>
          <t>Final successful segment: 42 tool calls, 155,998 tokens, ~11.7hr elapsed (includes idle/queued time between resumes, not continuous active work).</t>
        </is>
      </c>
      <c r="N58" s="36" t="inlineStr">
        <is>
          <t>The 0.45/0.30/0.25 blended scorer was already built and is explicitly called out in the brief as 'hard-won' - re-verified this session that matcher.similar('cylindrical NMC battery pack 32700', 'NMC') still scores 55, not the false 100% a single metric gives.</t>
        </is>
      </c>
      <c r="O58" s="36" t="inlineStr">
        <is>
          <t>None - a real regression risk (simplifying back to one metric) was explicitly guarded against and confirmed not to have happened.</t>
        </is>
      </c>
      <c r="P58" s="36" t="inlineStr">
        <is>
          <t>C Matching</t>
        </is>
      </c>
      <c r="Q58" s="36" t="inlineStr">
        <is>
          <t>Pre-existing, extended/re-verified</t>
        </is>
      </c>
      <c r="R58" s="36" t="inlineStr">
        <is>
          <t>Final successful segment: 42 tool calls, 155,998 tokens, ~11.7hr elapsed (includes idle/queued time between resumes, not continuous active work).</t>
        </is>
      </c>
      <c r="S58" s="36" t="inlineStr">
        <is>
          <t>The 0.45/0.30/0.25 blended scorer was already built and is explicitly called out in the brief as 'hard-won' - re-verified this session that matcher.similar('cylindrical NMC battery pack 32700', 'NMC') still scores 55, not the false 100% a single metric gives.</t>
        </is>
      </c>
      <c r="T58" s="36" t="inlineStr">
        <is>
          <t>None - a real regression risk (simplifying back to one metric) was explicitly guarded against and confirmed not to have happened.</t>
        </is>
      </c>
      <c r="U58" s="36" t="inlineStr">
        <is>
          <t>C Matching</t>
        </is>
      </c>
    </row>
    <row r="59" ht="30" customHeight="1">
      <c r="A59" s="8" t="inlineStr">
        <is>
          <t>D3</t>
        </is>
      </c>
      <c r="B59" s="8" t="inlineStr">
        <is>
          <t>C Matching</t>
        </is>
      </c>
      <c r="C59" s="9" t="inlineStr">
        <is>
          <t>E4 Matching &amp; LLM</t>
        </is>
      </c>
      <c r="D59" s="9" t="inlineStr">
        <is>
          <t>Alias learning</t>
        </is>
      </c>
      <c r="E59" s="9" t="inlineStr">
        <is>
          <t>An override is stored as an alias so the same wording resolves next time without an LLM call.</t>
        </is>
      </c>
      <c r="F59" s="8" t="inlineStr">
        <is>
          <t>Must</t>
        </is>
      </c>
      <c r="G59" s="8" t="n">
        <v>3</v>
      </c>
      <c r="H59" s="8" t="inlineStr">
        <is>
          <t>S0</t>
        </is>
      </c>
      <c r="I59" s="8" t="inlineStr">
        <is>
          <t>Done</t>
        </is>
      </c>
      <c r="J59" s="8" t="inlineStr">
        <is>
          <t>D1</t>
        </is>
      </c>
      <c r="K59" s="9" t="inlineStr"/>
      <c r="L59" s="36" t="inlineStr">
        <is>
          <t>Pre-existing, untouched</t>
        </is>
      </c>
      <c r="M59" s="36" t="inlineStr">
        <is>
          <t>Final successful segment: 42 tool calls, 155,998 tokens, ~11.7hr elapsed (includes idle/queued time between resumes, not continuous active work).</t>
        </is>
      </c>
      <c r="N59" s="36" t="inlineStr">
        <is>
          <t>Alias learning already existed.</t>
        </is>
      </c>
      <c r="O59" s="36" t="inlineStr">
        <is>
          <t>None.</t>
        </is>
      </c>
      <c r="P59" s="36" t="inlineStr">
        <is>
          <t>C Matching</t>
        </is>
      </c>
      <c r="Q59" s="36" t="inlineStr">
        <is>
          <t>Pre-existing, untouched</t>
        </is>
      </c>
      <c r="R59" s="36" t="inlineStr">
        <is>
          <t>Final successful segment: 42 tool calls, 155,998 tokens, ~11.7hr elapsed (includes idle/queued time between resumes, not continuous active work).</t>
        </is>
      </c>
      <c r="S59" s="36" t="inlineStr">
        <is>
          <t>Alias learning already existed.</t>
        </is>
      </c>
      <c r="T59" s="36" t="inlineStr">
        <is>
          <t>None.</t>
        </is>
      </c>
      <c r="U59" s="36" t="inlineStr">
        <is>
          <t>C Matching</t>
        </is>
      </c>
    </row>
    <row r="60" ht="30" customHeight="1">
      <c r="A60" s="8" t="inlineStr">
        <is>
          <t>D4</t>
        </is>
      </c>
      <c r="B60" s="8" t="inlineStr">
        <is>
          <t>C Matching</t>
        </is>
      </c>
      <c r="C60" s="9" t="inlineStr">
        <is>
          <t>E4 Matching &amp; LLM</t>
        </is>
      </c>
      <c r="D60" s="9" t="inlineStr">
        <is>
          <t>LLM provider abstraction</t>
        </is>
      </c>
      <c r="E60" s="9" t="inlineStr">
        <is>
          <t>One config line switches anthropic / gemini / openai / ollama / none.</t>
        </is>
      </c>
      <c r="F60" s="8" t="inlineStr">
        <is>
          <t>Must</t>
        </is>
      </c>
      <c r="G60" s="8" t="n">
        <v>5</v>
      </c>
      <c r="H60" s="8" t="inlineStr">
        <is>
          <t>S0</t>
        </is>
      </c>
      <c r="I60" s="8" t="inlineStr">
        <is>
          <t>Done</t>
        </is>
      </c>
      <c r="J60" s="8" t="inlineStr"/>
      <c r="K60" s="9" t="inlineStr">
        <is>
          <t>Scaffold complete</t>
        </is>
      </c>
      <c r="L60" s="36" t="inlineStr">
        <is>
          <t>Built &amp; verified (rewritten)</t>
        </is>
      </c>
      <c r="M60" s="36" t="inlineStr">
        <is>
          <t>Final successful segment: 42 tool calls, 155,998 tokens, ~11.7hr elapsed (includes idle/queued time between resumes, not continuous active work).</t>
        </is>
      </c>
      <c r="N60" s="36" t="inlineStr">
        <is>
          <t>core/llm.py rewritten from scratch as a clean one-interface, four-backend (anthropic/gemini/openai/ollama) provider abstraction, reading credentials from the settings table rather than config.json.</t>
        </is>
      </c>
      <c r="O60" s="36" t="inlineStr">
        <is>
          <t>The old version had its LLM backends embedded directly inside core/matcher.py as an escalation path; that whole design was removed, not just bypassed, since it was the exact thing being inverted away from.</t>
        </is>
      </c>
      <c r="P60" s="36" t="inlineStr">
        <is>
          <t>C Matching</t>
        </is>
      </c>
      <c r="Q60" s="36" t="inlineStr">
        <is>
          <t>Built &amp; verified (rewritten)</t>
        </is>
      </c>
      <c r="R60" s="36" t="inlineStr">
        <is>
          <t>Final successful segment: 42 tool calls, 155,998 tokens, ~11.7hr elapsed (includes idle/queued time between resumes, not continuous active work).</t>
        </is>
      </c>
      <c r="S60" s="36" t="inlineStr">
        <is>
          <t>core/llm.py rewritten from scratch as a clean one-interface, four-backend (anthropic/gemini/openai/ollama) provider abstraction, reading credentials from the settings table rather than config.json.</t>
        </is>
      </c>
      <c r="T60" s="36" t="inlineStr">
        <is>
          <t>The old version had its LLM backends embedded directly inside core/matcher.py as an escalation path; that whole design was removed, not just bypassed, since it was the exact thing being inverted away from.</t>
        </is>
      </c>
      <c r="U60" s="36" t="inlineStr">
        <is>
          <t>C Matching</t>
        </is>
      </c>
    </row>
    <row r="61" ht="30" customHeight="1">
      <c r="A61" s="4" t="inlineStr">
        <is>
          <t>D9</t>
        </is>
      </c>
      <c r="B61" s="4" t="inlineStr">
        <is>
          <t>C Matching</t>
        </is>
      </c>
      <c r="C61" s="5" t="inlineStr">
        <is>
          <t>E4 Matching &amp; LLM</t>
        </is>
      </c>
      <c r="D61" s="5" t="inlineStr">
        <is>
          <t>Invert to LLM-first matching</t>
        </is>
      </c>
      <c r="E61" s="5" t="inlineStr">
        <is>
          <t>The LLM decides group then specs on every judgement call; the rules produce the shortlist and constraints and hold the veto. Every decision stamped matched_by.</t>
        </is>
      </c>
      <c r="F61" s="4" t="inlineStr">
        <is>
          <t>Must</t>
        </is>
      </c>
      <c r="G61" s="4" t="n">
        <v>8</v>
      </c>
      <c r="H61" s="4" t="inlineStr">
        <is>
          <t>R3</t>
        </is>
      </c>
      <c r="I61" s="4" t="inlineStr">
        <is>
          <t>Not started</t>
        </is>
      </c>
      <c r="J61" s="4" t="inlineStr">
        <is>
          <t>D4</t>
        </is>
      </c>
      <c r="K61" s="5" t="inlineStr">
        <is>
          <t>Your instruction - reverses the earlier design</t>
        </is>
      </c>
      <c r="L61" s="36" t="inlineStr">
        <is>
          <t>Built &amp; verified (design reversed)</t>
        </is>
      </c>
      <c r="M61" s="36" t="inlineStr">
        <is>
          <t>Final successful segment: 42 tool calls, 155,998 tokens, ~11.7hr elapsed (includes idle/queued time between resumes, not continuous active work).</t>
        </is>
      </c>
      <c r="N61" s="36" t="inlineStr">
        <is>
          <t>This is the headline deviation of the whole build: matching flipped from 'fuzzy first, LLM escalates below 60%' to 'rules always build the shortlist and hold the veto, LLM decides group-then-slots from that shortlist only.' core/resolve.py rewritten around a new _build_line_context() (pure rules) feeding a batched LLM prompt whose answer is validated per-field against that same shortlist.</t>
        </is>
      </c>
      <c r="O61" s="36" t="inlineStr">
        <is>
          <t>This was Anuraag's own explicit instruction reversing an earlier design, not a bug fix - the plan row's original acceptance criteria describe the old direction. Deviation from the row's own wording is the intended outcome here, not a slip. Caught and fixed one real bug during testing: an undetermined slot was briefly inheriting the group's 'operator' label when nobody had actually touched that slot - fixed before it could silently misattribute a decision nobody made.</t>
        </is>
      </c>
      <c r="P61" s="36" t="inlineStr">
        <is>
          <t>C Matching</t>
        </is>
      </c>
      <c r="Q61" s="36" t="inlineStr">
        <is>
          <t>Built &amp; verified (design reversed)</t>
        </is>
      </c>
      <c r="R61" s="36" t="inlineStr">
        <is>
          <t>Final successful segment: 42 tool calls, 155,998 tokens, ~11.7hr elapsed (includes idle/queued time between resumes, not continuous active work).</t>
        </is>
      </c>
      <c r="S61" s="36" t="inlineStr">
        <is>
          <t>This is the headline deviation of the whole build: matching flipped from 'fuzzy first, LLM escalates below 60%' to 'rules always build the shortlist and hold the veto, LLM decides group-then-slots from that shortlist only.' core/resolve.py rewritten around a new _build_line_context() (pure rules) feeding a batched LLM prompt whose answer is validated per-field against that same shortlist.</t>
        </is>
      </c>
      <c r="T61" s="36" t="inlineStr">
        <is>
          <t>This was Anuraag's own explicit instruction reversing an earlier design, not a bug fix - the plan row's original acceptance criteria describe the old direction. Deviation from the row's own wording is the intended outcome here, not a slip. Caught and fixed one real bug during testing: an undetermined slot was briefly inheriting the group's 'operator' label when nobody had actually touched that slot - fixed before it could silently misattribute a decision nobody made.</t>
        </is>
      </c>
      <c r="U61" s="36" t="inlineStr">
        <is>
          <t>C Matching</t>
        </is>
      </c>
    </row>
    <row r="62" ht="30" customHeight="1">
      <c r="A62" s="6" t="inlineStr">
        <is>
          <t>D10</t>
        </is>
      </c>
      <c r="B62" s="6" t="inlineStr">
        <is>
          <t>C Matching</t>
        </is>
      </c>
      <c r="C62" s="7" t="inlineStr">
        <is>
          <t>E4 Matching &amp; LLM</t>
        </is>
      </c>
      <c r="D62" s="7" t="inlineStr">
        <is>
          <t>Fallback on rate limit or quota</t>
        </is>
      </c>
      <c r="E62" s="7" t="inlineStr">
        <is>
          <t>429, timeout, bad key or no network falls straight through to the deterministic result, marked matched_by:rules. The tool never stops working.</t>
        </is>
      </c>
      <c r="F62" s="6" t="inlineStr">
        <is>
          <t>Must</t>
        </is>
      </c>
      <c r="G62" s="6" t="n">
        <v>5</v>
      </c>
      <c r="H62" s="6" t="inlineStr">
        <is>
          <t>R3</t>
        </is>
      </c>
      <c r="I62" s="6" t="inlineStr">
        <is>
          <t>Not started</t>
        </is>
      </c>
      <c r="J62" s="6" t="inlineStr">
        <is>
          <t>D9</t>
        </is>
      </c>
      <c r="K62" s="7" t="inlineStr">
        <is>
          <t>The always-there fallback</t>
        </is>
      </c>
      <c r="L62" s="36" t="inlineStr">
        <is>
          <t>Built &amp; verified</t>
        </is>
      </c>
      <c r="M62" s="36" t="inlineStr">
        <is>
          <t>Final successful segment: 42 tool calls, 155,998 tokens, ~11.7hr elapsed (includes idle/queued time between resumes, not continuous active work).</t>
        </is>
      </c>
      <c r="N62" s="36" t="inlineStr">
        <is>
          <t>Verified directly: a 20-line batch against a mocked provider that dies mid-call makes exactly one attempt, then all 20 lines fall back cleanly to matched_by:'rules' - the tool never stops working, proven, not argued.</t>
        </is>
      </c>
      <c r="O62" s="36" t="inlineStr">
        <is>
          <t>None beyond what D9 already covers.</t>
        </is>
      </c>
      <c r="P62" s="36" t="inlineStr">
        <is>
          <t>C Matching</t>
        </is>
      </c>
      <c r="Q62" s="36" t="inlineStr">
        <is>
          <t>Built &amp; verified</t>
        </is>
      </c>
      <c r="R62" s="36" t="inlineStr">
        <is>
          <t>Final successful segment: 42 tool calls, 155,998 tokens, ~11.7hr elapsed (includes idle/queued time between resumes, not continuous active work).</t>
        </is>
      </c>
      <c r="S62" s="36" t="inlineStr">
        <is>
          <t>Verified directly: a 20-line batch against a mocked provider that dies mid-call makes exactly one attempt, then all 20 lines fall back cleanly to matched_by:'rules' - the tool never stops working, proven, not argued.</t>
        </is>
      </c>
      <c r="T62" s="36" t="inlineStr">
        <is>
          <t>None beyond what D9 already covers.</t>
        </is>
      </c>
      <c r="U62" s="36" t="inlineStr">
        <is>
          <t>C Matching</t>
        </is>
      </c>
    </row>
    <row r="63" ht="30" customHeight="1">
      <c r="A63" s="4" t="inlineStr">
        <is>
          <t>D11</t>
        </is>
      </c>
      <c r="B63" s="4" t="inlineStr">
        <is>
          <t>C Matching</t>
        </is>
      </c>
      <c r="C63" s="5" t="inlineStr">
        <is>
          <t>E4 Matching &amp; LLM</t>
        </is>
      </c>
      <c r="D63" s="5" t="inlineStr">
        <is>
          <t>Cache and batch LLM calls</t>
        </is>
      </c>
      <c r="E63" s="5" t="inlineStr">
        <is>
          <t>Results cached on normalised text; a 20-line invoice resolves in one call, not twenty. Exact phase-1 hits never call out.</t>
        </is>
      </c>
      <c r="F63" s="4" t="inlineStr">
        <is>
          <t>Must</t>
        </is>
      </c>
      <c r="G63" s="4" t="n">
        <v>5</v>
      </c>
      <c r="H63" s="4" t="inlineStr">
        <is>
          <t>R4</t>
        </is>
      </c>
      <c r="I63" s="4" t="inlineStr">
        <is>
          <t>Not started</t>
        </is>
      </c>
      <c r="J63" s="4" t="inlineStr">
        <is>
          <t>D9</t>
        </is>
      </c>
      <c r="K63" s="5" t="inlineStr">
        <is>
          <t>Keeps LLM-first affordable</t>
        </is>
      </c>
      <c r="L63" s="36" t="inlineStr">
        <is>
          <t>Built &amp; verified</t>
        </is>
      </c>
      <c r="M63" s="36" t="inlineStr">
        <is>
          <t>Final successful segment: 42 tool calls, 155,998 tokens, ~11.7hr elapsed (includes idle/queued time between resumes, not continuous active work).</t>
        </is>
      </c>
      <c r="N63" s="36" t="inlineStr">
        <is>
          <t>llm_cache keyed on a hash of normalised text plus the exact shortlist signature (so a dictionary change naturally misses the cache rather than serving a stale answer); verified an identical batch run twice makes the network call only on the first pass.</t>
        </is>
      </c>
      <c r="O63" s="36" t="inlineStr">
        <is>
          <t>None of note.</t>
        </is>
      </c>
      <c r="P63" s="36" t="inlineStr">
        <is>
          <t>C Matching</t>
        </is>
      </c>
      <c r="Q63" s="36" t="inlineStr">
        <is>
          <t>Built &amp; verified</t>
        </is>
      </c>
      <c r="R63" s="36" t="inlineStr">
        <is>
          <t>Final successful segment: 42 tool calls, 155,998 tokens, ~11.7hr elapsed (includes idle/queued time between resumes, not continuous active work).</t>
        </is>
      </c>
      <c r="S63" s="36" t="inlineStr">
        <is>
          <t>llm_cache keyed on a hash of normalised text plus the exact shortlist signature (so a dictionary change naturally misses the cache rather than serving a stale answer); verified an identical batch run twice makes the network call only on the first pass.</t>
        </is>
      </c>
      <c r="T63" s="36" t="inlineStr">
        <is>
          <t>None of note.</t>
        </is>
      </c>
      <c r="U63" s="36" t="inlineStr">
        <is>
          <t>C Matching</t>
        </is>
      </c>
    </row>
    <row r="64" ht="30" customHeight="1">
      <c r="A64" s="8" t="inlineStr">
        <is>
          <t>D7</t>
        </is>
      </c>
      <c r="B64" s="8" t="inlineStr">
        <is>
          <t>C Matching</t>
        </is>
      </c>
      <c r="C64" s="9" t="inlineStr">
        <is>
          <t>E4 Matching &amp; LLM</t>
        </is>
      </c>
      <c r="D64" s="9" t="inlineStr">
        <is>
          <t>LLM guardrails</t>
        </is>
      </c>
      <c r="E64" s="9" t="inlineStr">
        <is>
          <t>The model may only pick from the shortlist or answer none. It can never mint a code.</t>
        </is>
      </c>
      <c r="F64" s="8" t="inlineStr">
        <is>
          <t>Must</t>
        </is>
      </c>
      <c r="G64" s="8" t="n">
        <v>3</v>
      </c>
      <c r="H64" s="8" t="inlineStr">
        <is>
          <t>S0</t>
        </is>
      </c>
      <c r="I64" s="8" t="inlineStr">
        <is>
          <t>Done</t>
        </is>
      </c>
      <c r="J64" s="8" t="inlineStr">
        <is>
          <t>D4</t>
        </is>
      </c>
      <c r="K64" s="9" t="inlineStr"/>
      <c r="L64" s="36" t="inlineStr">
        <is>
          <t>Pre-existing, re-verified</t>
        </is>
      </c>
      <c r="M64" s="36" t="inlineStr">
        <is>
          <t>Final successful segment: 42 tool calls, 155,998 tokens, ~11.7hr elapsed (includes idle/queued time between resumes, not continuous active work).</t>
        </is>
      </c>
      <c r="N64" s="36" t="inlineStr">
        <is>
          <t>Guardrail (LLM may only pick from the shortlist or answer none) already existed as a concept; re-implemented as part of the D9 rewrite with the same guarantee, now enforced per-field rather than once per line.</t>
        </is>
      </c>
      <c r="O64" s="36" t="inlineStr">
        <is>
          <t>None beyond what D9 covers.</t>
        </is>
      </c>
      <c r="P64" s="36" t="inlineStr">
        <is>
          <t>C Matching</t>
        </is>
      </c>
      <c r="Q64" s="36" t="inlineStr">
        <is>
          <t>Pre-existing, re-verified</t>
        </is>
      </c>
      <c r="R64" s="36" t="inlineStr">
        <is>
          <t>Final successful segment: 42 tool calls, 155,998 tokens, ~11.7hr elapsed (includes idle/queued time between resumes, not continuous active work).</t>
        </is>
      </c>
      <c r="S64" s="36" t="inlineStr">
        <is>
          <t>Guardrail (LLM may only pick from the shortlist or answer none) already existed as a concept; re-implemented as part of the D9 rewrite with the same guarantee, now enforced per-field rather than once per line.</t>
        </is>
      </c>
      <c r="T64" s="36" t="inlineStr">
        <is>
          <t>None beyond what D9 covers.</t>
        </is>
      </c>
      <c r="U64" s="36" t="inlineStr">
        <is>
          <t>C Matching</t>
        </is>
      </c>
    </row>
    <row r="65" ht="30" customHeight="1">
      <c r="A65" s="4" t="inlineStr">
        <is>
          <t>D8</t>
        </is>
      </c>
      <c r="B65" s="4" t="inlineStr">
        <is>
          <t>C Matching</t>
        </is>
      </c>
      <c r="C65" s="5" t="inlineStr">
        <is>
          <t>E4 Matching &amp; LLM</t>
        </is>
      </c>
      <c r="D65" s="5" t="inlineStr">
        <is>
          <t>Graceful degradation</t>
        </is>
      </c>
      <c r="E65" s="5" t="inlineStr">
        <is>
          <t>Provider down or key invalid falls back to fuzzy plus a human question, never a crash.</t>
        </is>
      </c>
      <c r="F65" s="4" t="inlineStr">
        <is>
          <t>Must</t>
        </is>
      </c>
      <c r="G65" s="4" t="n">
        <v>2</v>
      </c>
      <c r="H65" s="4" t="inlineStr">
        <is>
          <t>R5</t>
        </is>
      </c>
      <c r="I65" s="4" t="inlineStr">
        <is>
          <t>Not started</t>
        </is>
      </c>
      <c r="J65" s="4" t="inlineStr">
        <is>
          <t>D4</t>
        </is>
      </c>
      <c r="K65" s="5" t="inlineStr"/>
      <c r="L65" s="36" t="inlineStr">
        <is>
          <t>Built &amp; verified</t>
        </is>
      </c>
      <c r="M65" s="36" t="inlineStr">
        <is>
          <t>Final successful segment: 42 tool calls, 155,998 tokens, ~11.7hr elapsed (includes idle/queued time between resumes, not continuous active work).</t>
        </is>
      </c>
      <c r="N65" s="36" t="inlineStr">
        <is>
          <t>Covered by the same fallback path as D10.</t>
        </is>
      </c>
      <c r="O65" s="36" t="inlineStr">
        <is>
          <t>None.</t>
        </is>
      </c>
      <c r="P65" s="36" t="inlineStr">
        <is>
          <t>C Matching</t>
        </is>
      </c>
      <c r="Q65" s="36" t="inlineStr">
        <is>
          <t>Built &amp; verified</t>
        </is>
      </c>
      <c r="R65" s="36" t="inlineStr">
        <is>
          <t>Final successful segment: 42 tool calls, 155,998 tokens, ~11.7hr elapsed (includes idle/queued time between resumes, not continuous active work).</t>
        </is>
      </c>
      <c r="S65" s="36" t="inlineStr">
        <is>
          <t>Covered by the same fallback path as D10.</t>
        </is>
      </c>
      <c r="T65" s="36" t="inlineStr">
        <is>
          <t>None.</t>
        </is>
      </c>
      <c r="U65" s="36" t="inlineStr">
        <is>
          <t>C Matching</t>
        </is>
      </c>
    </row>
    <row r="66" ht="30" customHeight="1">
      <c r="A66" s="8" t="inlineStr">
        <is>
          <t>F1</t>
        </is>
      </c>
      <c r="B66" s="8" t="inlineStr">
        <is>
          <t>E Create</t>
        </is>
      </c>
      <c r="C66" s="9" t="inlineStr">
        <is>
          <t>E5 Invoice &amp; OCR</t>
        </is>
      </c>
      <c r="D66" s="9" t="inlineStr">
        <is>
          <t>Multi-format extraction</t>
        </is>
      </c>
      <c r="E66" s="9" t="inlineStr">
        <is>
          <t>Text, PDF, scanned PDF, image, Excel and CSV all produce a line list.</t>
        </is>
      </c>
      <c r="F66" s="8" t="inlineStr">
        <is>
          <t>Must</t>
        </is>
      </c>
      <c r="G66" s="8" t="n">
        <v>8</v>
      </c>
      <c r="H66" s="8" t="inlineStr">
        <is>
          <t>S0</t>
        </is>
      </c>
      <c r="I66" s="8" t="inlineStr">
        <is>
          <t>Done</t>
        </is>
      </c>
      <c r="J66" s="8" t="inlineStr"/>
      <c r="K66" s="9" t="inlineStr"/>
      <c r="L66" s="36" t="inlineStr">
        <is>
          <t>Pre-existing, untouched</t>
        </is>
      </c>
      <c r="M66" s="36" t="inlineStr">
        <is>
          <t>Session cut off by the account spend-limit event while writing its handover note; the file had already been fully written to disk before the connection died, and verification found nothing missing, so it was not resumed further.</t>
        </is>
      </c>
      <c r="N66" s="36" t="inlineStr">
        <is>
          <t>Multi-format extraction cascade already existed and worked correctly.</t>
        </is>
      </c>
      <c r="O66" s="36" t="inlineStr">
        <is>
          <t>None.</t>
        </is>
      </c>
      <c r="P66" s="36" t="inlineStr">
        <is>
          <t>E Create</t>
        </is>
      </c>
      <c r="Q66" s="36" t="inlineStr">
        <is>
          <t>Pre-existing, untouched</t>
        </is>
      </c>
      <c r="R66" s="36" t="inlineStr">
        <is>
          <t>Session cut off by the account spend-limit event while writing its handover note; the file had already been fully written to disk before the connection died, and verification found nothing missing, so it was not resumed further.</t>
        </is>
      </c>
      <c r="S66" s="36" t="inlineStr">
        <is>
          <t>Multi-format extraction cascade already existed and worked correctly.</t>
        </is>
      </c>
      <c r="T66" s="36" t="inlineStr">
        <is>
          <t>None.</t>
        </is>
      </c>
      <c r="U66" s="36" t="inlineStr">
        <is>
          <t>E Create</t>
        </is>
      </c>
    </row>
    <row r="67" ht="30" customHeight="1">
      <c r="A67" s="8" t="inlineStr">
        <is>
          <t>F2</t>
        </is>
      </c>
      <c r="B67" s="8" t="inlineStr">
        <is>
          <t>E Create</t>
        </is>
      </c>
      <c r="C67" s="9" t="inlineStr">
        <is>
          <t>E5 Invoice &amp; OCR</t>
        </is>
      </c>
      <c r="D67" s="9" t="inlineStr">
        <is>
          <t>Extraction cascade</t>
        </is>
      </c>
      <c r="E67" s="9" t="inlineStr">
        <is>
          <t>Tables, then text layer, then OCR per page. Only pages without text go to OCR.</t>
        </is>
      </c>
      <c r="F67" s="8" t="inlineStr">
        <is>
          <t>Must</t>
        </is>
      </c>
      <c r="G67" s="8" t="n">
        <v>5</v>
      </c>
      <c r="H67" s="8" t="inlineStr">
        <is>
          <t>S0</t>
        </is>
      </c>
      <c r="I67" s="8" t="inlineStr">
        <is>
          <t>Done</t>
        </is>
      </c>
      <c r="J67" s="8" t="inlineStr">
        <is>
          <t>F1</t>
        </is>
      </c>
      <c r="K67" s="9" t="inlineStr"/>
      <c r="L67" s="36" t="inlineStr">
        <is>
          <t>Pre-existing, untouched</t>
        </is>
      </c>
      <c r="M67" s="36" t="inlineStr">
        <is>
          <t>Session cut off by the account spend-limit event while writing its handover note; the file had already been fully written to disk before the connection died, and verification found nothing missing, so it was not resumed further.</t>
        </is>
      </c>
      <c r="N67" s="36" t="inlineStr">
        <is>
          <t>Extraction cascade (tables -&gt; text layer -&gt; per-page OCR) already existed.</t>
        </is>
      </c>
      <c r="O67" s="36" t="inlineStr">
        <is>
          <t>None.</t>
        </is>
      </c>
      <c r="P67" s="36" t="inlineStr">
        <is>
          <t>E Create</t>
        </is>
      </c>
      <c r="Q67" s="36" t="inlineStr">
        <is>
          <t>Pre-existing, untouched</t>
        </is>
      </c>
      <c r="R67" s="36" t="inlineStr">
        <is>
          <t>Session cut off by the account spend-limit event while writing its handover note; the file had already been fully written to disk before the connection died, and verification found nothing missing, so it was not resumed further.</t>
        </is>
      </c>
      <c r="S67" s="36" t="inlineStr">
        <is>
          <t>Extraction cascade (tables -&gt; text layer -&gt; per-page OCR) already existed.</t>
        </is>
      </c>
      <c r="T67" s="36" t="inlineStr">
        <is>
          <t>None.</t>
        </is>
      </c>
      <c r="U67" s="36" t="inlineStr">
        <is>
          <t>E Create</t>
        </is>
      </c>
    </row>
    <row r="68" ht="30" customHeight="1">
      <c r="A68" s="8" t="inlineStr">
        <is>
          <t>F6</t>
        </is>
      </c>
      <c r="B68" s="8" t="inlineStr">
        <is>
          <t>E Create</t>
        </is>
      </c>
      <c r="C68" s="9" t="inlineStr">
        <is>
          <t>E5 Invoice &amp; OCR</t>
        </is>
      </c>
      <c r="D68" s="9" t="inlineStr">
        <is>
          <t>Field extraction</t>
        </is>
      </c>
      <c r="E68" s="9" t="inlineStr">
        <is>
          <t>Description, quantity, UoM, rate, HSN and line-level vendor. Header supplier ignored.</t>
        </is>
      </c>
      <c r="F68" s="8" t="inlineStr">
        <is>
          <t>Must</t>
        </is>
      </c>
      <c r="G68" s="8" t="n">
        <v>5</v>
      </c>
      <c r="H68" s="8" t="inlineStr">
        <is>
          <t>S0</t>
        </is>
      </c>
      <c r="I68" s="8" t="inlineStr">
        <is>
          <t>Done</t>
        </is>
      </c>
      <c r="J68" s="8" t="inlineStr">
        <is>
          <t>F1</t>
        </is>
      </c>
      <c r="K68" s="9" t="inlineStr">
        <is>
          <t>Your rule: line vendor only</t>
        </is>
      </c>
      <c r="L68" s="36" t="inlineStr">
        <is>
          <t>Pre-existing, extended</t>
        </is>
      </c>
      <c r="M68" s="36" t="inlineStr">
        <is>
          <t>Session cut off by the account spend-limit event while writing its handover note; the file had already been fully written to disk before the connection died, and verification found nothing missing, so it was not resumed further.</t>
        </is>
      </c>
      <c r="N68" s="36" t="inlineStr">
        <is>
          <t>Field extraction already worked; core/ingest.py's top-level dispatch was wrapped in try/except so one corrupt file degrades gracefully instead of failing the whole upload.</t>
        </is>
      </c>
      <c r="O68" s="36" t="inlineStr">
        <is>
          <t>Minor, low-risk addition on top of already-correct logic.</t>
        </is>
      </c>
      <c r="P68" s="36" t="inlineStr">
        <is>
          <t>E Create</t>
        </is>
      </c>
      <c r="Q68" s="36" t="inlineStr">
        <is>
          <t>Pre-existing, extended</t>
        </is>
      </c>
      <c r="R68" s="36" t="inlineStr">
        <is>
          <t>Session cut off by the account spend-limit event while writing its handover note; the file had already been fully written to disk before the connection died, and verification found nothing missing, so it was not resumed further.</t>
        </is>
      </c>
      <c r="S68" s="36" t="inlineStr">
        <is>
          <t>Field extraction already worked; core/ingest.py's top-level dispatch was wrapped in try/except so one corrupt file degrades gracefully instead of failing the whole upload.</t>
        </is>
      </c>
      <c r="T68" s="36" t="inlineStr">
        <is>
          <t>Minor, low-risk addition on top of already-correct logic.</t>
        </is>
      </c>
      <c r="U68" s="36" t="inlineStr">
        <is>
          <t>E Create</t>
        </is>
      </c>
    </row>
    <row r="69" ht="30" customHeight="1">
      <c r="A69" s="8" t="inlineStr">
        <is>
          <t>F7</t>
        </is>
      </c>
      <c r="B69" s="8" t="inlineStr">
        <is>
          <t>E Create</t>
        </is>
      </c>
      <c r="C69" s="9" t="inlineStr">
        <is>
          <t>E5 Invoice &amp; OCR</t>
        </is>
      </c>
      <c r="D69" s="9" t="inlineStr">
        <is>
          <t>Independent batch handling</t>
        </is>
      </c>
      <c r="E69" s="9" t="inlineStr">
        <is>
          <t>A 20-line invoice yields 20 proposals; one failure never blocks the rest.</t>
        </is>
      </c>
      <c r="F69" s="8" t="inlineStr">
        <is>
          <t>Must</t>
        </is>
      </c>
      <c r="G69" s="8" t="n">
        <v>3</v>
      </c>
      <c r="H69" s="8" t="inlineStr">
        <is>
          <t>S0</t>
        </is>
      </c>
      <c r="I69" s="8" t="inlineStr">
        <is>
          <t>Done</t>
        </is>
      </c>
      <c r="J69" s="8" t="inlineStr">
        <is>
          <t>F1</t>
        </is>
      </c>
      <c r="K69" s="9" t="inlineStr"/>
      <c r="L69" s="36" t="inlineStr">
        <is>
          <t>Pre-existing, re-verified</t>
        </is>
      </c>
      <c r="M69" s="36" t="inlineStr">
        <is>
          <t>Session cut off by the account spend-limit event while writing its handover note; the file had already been fully written to disk before the connection died, and verification found nothing missing, so it was not resumed further.</t>
        </is>
      </c>
      <c r="N69" s="36" t="inlineStr">
        <is>
          <t>Independent batch handling already worked; re-verified this session as part of the create-screen build.</t>
        </is>
      </c>
      <c r="O69" s="36" t="inlineStr">
        <is>
          <t>None.</t>
        </is>
      </c>
      <c r="P69" s="36" t="inlineStr">
        <is>
          <t>E Create</t>
        </is>
      </c>
      <c r="Q69" s="36" t="inlineStr">
        <is>
          <t>Pre-existing, re-verified</t>
        </is>
      </c>
      <c r="R69" s="36" t="inlineStr">
        <is>
          <t>Session cut off by the account spend-limit event while writing its handover note; the file had already been fully written to disk before the connection died, and verification found nothing missing, so it was not resumed further.</t>
        </is>
      </c>
      <c r="S69" s="36" t="inlineStr">
        <is>
          <t>Independent batch handling already worked; re-verified this session as part of the create-screen build.</t>
        </is>
      </c>
      <c r="T69" s="36" t="inlineStr">
        <is>
          <t>None.</t>
        </is>
      </c>
      <c r="U69" s="36" t="inlineStr">
        <is>
          <t>E Create</t>
        </is>
      </c>
    </row>
    <row r="70" ht="30" customHeight="1">
      <c r="A70" s="8" t="inlineStr">
        <is>
          <t>G1</t>
        </is>
      </c>
      <c r="B70" s="8" t="inlineStr">
        <is>
          <t>F Master</t>
        </is>
      </c>
      <c r="C70" s="9" t="inlineStr">
        <is>
          <t>E6 Master &amp; Restructure</t>
        </is>
      </c>
      <c r="D70" s="9" t="inlineStr">
        <is>
          <t>Item master screen</t>
        </is>
      </c>
      <c r="E70" s="9" t="inlineStr">
        <is>
          <t>Search, filter and edit, attributed and logged.</t>
        </is>
      </c>
      <c r="F70" s="8" t="inlineStr">
        <is>
          <t>Must</t>
        </is>
      </c>
      <c r="G70" s="8" t="n">
        <v>5</v>
      </c>
      <c r="H70" s="8" t="inlineStr">
        <is>
          <t>S0</t>
        </is>
      </c>
      <c r="I70" s="8" t="inlineStr">
        <is>
          <t>Done</t>
        </is>
      </c>
      <c r="J70" s="8" t="inlineStr"/>
      <c r="K70" s="9" t="inlineStr"/>
      <c r="L70" s="36" t="inlineStr">
        <is>
          <t>Pre-existing, extended</t>
        </is>
      </c>
      <c r="M70" s="36" t="inlineStr">
        <is>
          <t>Single successful segment: 64 tool calls, 246,199 tokens, ~19.5 min.</t>
        </is>
      </c>
      <c r="N70" s="36" t="inlineStr">
        <is>
          <t>Item master screen already existed; rebuilt this session into the full versioned/editable form described above.</t>
        </is>
      </c>
      <c r="O70" s="36" t="inlineStr">
        <is>
          <t>See K6/K7 above.</t>
        </is>
      </c>
      <c r="P70" s="36" t="inlineStr">
        <is>
          <t>F Master</t>
        </is>
      </c>
      <c r="Q70" s="36" t="inlineStr">
        <is>
          <t>Pre-existing, extended</t>
        </is>
      </c>
      <c r="R70" s="36" t="inlineStr">
        <is>
          <t>Single successful segment: 64 tool calls, 246,199 tokens, ~19.5 min.</t>
        </is>
      </c>
      <c r="S70" s="36" t="inlineStr">
        <is>
          <t>Item master screen already existed; rebuilt this session into the full versioned/editable form described above.</t>
        </is>
      </c>
      <c r="T70" s="36" t="inlineStr">
        <is>
          <t>See K6/K7 above.</t>
        </is>
      </c>
      <c r="U70" s="36" t="inlineStr">
        <is>
          <t>F Master</t>
        </is>
      </c>
    </row>
    <row r="71" ht="30" customHeight="1">
      <c r="A71" s="8" t="inlineStr">
        <is>
          <t>G2</t>
        </is>
      </c>
      <c r="B71" s="8" t="inlineStr">
        <is>
          <t>F Master</t>
        </is>
      </c>
      <c r="C71" s="9" t="inlineStr">
        <is>
          <t>E6 Master &amp; Restructure</t>
        </is>
      </c>
      <c r="D71" s="9" t="inlineStr">
        <is>
          <t>Field edits never touch the code</t>
        </is>
      </c>
      <c r="E71" s="9" t="inlineStr">
        <is>
          <t>Enforced in the API, not only the interface.</t>
        </is>
      </c>
      <c r="F71" s="8" t="inlineStr">
        <is>
          <t>Must</t>
        </is>
      </c>
      <c r="G71" s="8" t="n">
        <v>2</v>
      </c>
      <c r="H71" s="8" t="inlineStr">
        <is>
          <t>S0</t>
        </is>
      </c>
      <c r="I71" s="8" t="inlineStr">
        <is>
          <t>Done</t>
        </is>
      </c>
      <c r="J71" s="8" t="inlineStr">
        <is>
          <t>G1</t>
        </is>
      </c>
      <c r="K71" s="9" t="inlineStr"/>
      <c r="L71" s="36" t="inlineStr">
        <is>
          <t>Built &amp; verified</t>
        </is>
      </c>
      <c r="M71" s="36" t="inlineStr">
        <is>
          <t>Single successful segment: 64 tool calls, 246,199 tokens, ~19.5 min.</t>
        </is>
      </c>
      <c r="N71" s="36" t="inlineStr">
        <is>
          <t>Field edits never touching the code is enforced in the API, not just the interface - a shared _apply_field_edit() helper raises a typed FROZEN error outright if the payload contains code/grp_id/s1-s4/vend, verified live with a direct curl call.</t>
        </is>
      </c>
      <c r="O71" s="36" t="inlineStr">
        <is>
          <t>None of note.</t>
        </is>
      </c>
      <c r="P71" s="36" t="inlineStr">
        <is>
          <t>F Master</t>
        </is>
      </c>
      <c r="Q71" s="36" t="inlineStr">
        <is>
          <t>Built &amp; verified</t>
        </is>
      </c>
      <c r="R71" s="36" t="inlineStr">
        <is>
          <t>Single successful segment: 64 tool calls, 246,199 tokens, ~19.5 min.</t>
        </is>
      </c>
      <c r="S71" s="36" t="inlineStr">
        <is>
          <t>Field edits never touching the code is enforced in the API, not just the interface - a shared _apply_field_edit() helper raises a typed FROZEN error outright if the payload contains code/grp_id/s1-s4/vend, verified live with a direct curl call.</t>
        </is>
      </c>
      <c r="T71" s="36" t="inlineStr">
        <is>
          <t>None of note.</t>
        </is>
      </c>
      <c r="U71" s="36" t="inlineStr">
        <is>
          <t>F Master</t>
        </is>
      </c>
    </row>
    <row r="72" ht="30" customHeight="1">
      <c r="A72" s="8" t="inlineStr">
        <is>
          <t>G4</t>
        </is>
      </c>
      <c r="B72" s="8" t="inlineStr">
        <is>
          <t>F Master</t>
        </is>
      </c>
      <c r="C72" s="9" t="inlineStr">
        <is>
          <t>E6 Master &amp; Restructure</t>
        </is>
      </c>
      <c r="D72" s="9" t="inlineStr">
        <is>
          <t>Code mapping ledger</t>
        </is>
      </c>
      <c r="E72" s="9" t="inlineStr">
        <is>
          <t>Every old-to-new pair recorded and exported.</t>
        </is>
      </c>
      <c r="F72" s="8" t="inlineStr">
        <is>
          <t>Must</t>
        </is>
      </c>
      <c r="G72" s="8" t="n">
        <v>3</v>
      </c>
      <c r="H72" s="8" t="inlineStr">
        <is>
          <t>S0</t>
        </is>
      </c>
      <c r="I72" s="8" t="inlineStr">
        <is>
          <t>Done</t>
        </is>
      </c>
      <c r="J72" s="8" t="inlineStr">
        <is>
          <t>G3</t>
        </is>
      </c>
      <c r="K72" s="9" t="inlineStr"/>
      <c r="L72" s="36" t="inlineStr">
        <is>
          <t>Pre-existing, untouched</t>
        </is>
      </c>
      <c r="M72" s="36" t="inlineStr">
        <is>
          <t>Single successful segment: 64 tool calls, 246,199 tokens, ~19.5 min.</t>
        </is>
      </c>
      <c r="N72" s="36" t="inlineStr">
        <is>
          <t>code_mapping ledger already existed and was not touched.</t>
        </is>
      </c>
      <c r="O72" s="36" t="inlineStr">
        <is>
          <t>None.</t>
        </is>
      </c>
      <c r="P72" s="36" t="inlineStr">
        <is>
          <t>F Master</t>
        </is>
      </c>
      <c r="Q72" s="36" t="inlineStr">
        <is>
          <t>Pre-existing, untouched</t>
        </is>
      </c>
      <c r="R72" s="36" t="inlineStr">
        <is>
          <t>Single successful segment: 64 tool calls, 246,199 tokens, ~19.5 min.</t>
        </is>
      </c>
      <c r="S72" s="36" t="inlineStr">
        <is>
          <t>code_mapping ledger already existed and was not touched.</t>
        </is>
      </c>
      <c r="T72" s="36" t="inlineStr">
        <is>
          <t>None.</t>
        </is>
      </c>
      <c r="U72" s="36" t="inlineStr">
        <is>
          <t>F Master</t>
        </is>
      </c>
    </row>
    <row r="73" ht="30" customHeight="1">
      <c r="A73" s="8" t="inlineStr">
        <is>
          <t>H1</t>
        </is>
      </c>
      <c r="B73" s="8" t="inlineStr">
        <is>
          <t>G ERPNext</t>
        </is>
      </c>
      <c r="C73" s="9" t="inlineStr">
        <is>
          <t>E7 ERPNext</t>
        </is>
      </c>
      <c r="D73" s="9" t="inlineStr">
        <is>
          <t>REST client</t>
        </is>
      </c>
      <c r="E73" s="9" t="inlineStr">
        <is>
          <t>Login, retry and error surfacing against UAT and PROD.</t>
        </is>
      </c>
      <c r="F73" s="8" t="inlineStr">
        <is>
          <t>Must</t>
        </is>
      </c>
      <c r="G73" s="8" t="n">
        <v>3</v>
      </c>
      <c r="H73" s="8" t="inlineStr">
        <is>
          <t>S0</t>
        </is>
      </c>
      <c r="I73" s="8" t="inlineStr">
        <is>
          <t>Done</t>
        </is>
      </c>
      <c r="J73" s="8" t="inlineStr"/>
      <c r="K73" s="9" t="inlineStr"/>
      <c r="L73" s="36" t="inlineStr">
        <is>
          <t>Pre-existing, rebuilt with guardrails</t>
        </is>
      </c>
      <c r="M73" s="36" t="inlineStr">
        <is>
          <t>Final segment: 10 tool calls, 238,124 tokens, ~3 min (the substantial rewrite happened in an earlier segment that failed on the spend-limit before reporting usage, so most of the real work here isn't reflected in that number).</t>
        </is>
      </c>
      <c r="N73" s="36" t="inlineStr">
        <is>
          <t>REST client already existed; core/erp.py rewritten this session with a closed-list guardrail on top of the same login/retry/error-surfacing behaviour.</t>
        </is>
      </c>
      <c r="O73" s="36" t="inlineStr">
        <is>
          <t>See H9/H10 below for the guardrail specifics.</t>
        </is>
      </c>
      <c r="P73" s="36" t="inlineStr">
        <is>
          <t>G ERPNext</t>
        </is>
      </c>
      <c r="Q73" s="36" t="inlineStr">
        <is>
          <t>Pre-existing, rebuilt with guardrails</t>
        </is>
      </c>
      <c r="R73" s="36" t="inlineStr">
        <is>
          <t>Final segment: 10 tool calls, 238,124 tokens, ~3 min (the substantial rewrite happened in an earlier segment that failed on the spend-limit before reporting usage, so most of the real work here isn't reflected in that number).</t>
        </is>
      </c>
      <c r="S73" s="36" t="inlineStr">
        <is>
          <t>REST client already existed; core/erp.py rewritten this session with a closed-list guardrail on top of the same login/retry/error-surfacing behaviour.</t>
        </is>
      </c>
      <c r="T73" s="36" t="inlineStr">
        <is>
          <t>See H9/H10 below for the guardrail specifics.</t>
        </is>
      </c>
      <c r="U73" s="36" t="inlineStr">
        <is>
          <t>G ERPNext</t>
        </is>
      </c>
    </row>
    <row r="74" ht="30" customHeight="1">
      <c r="A74" s="8" t="inlineStr">
        <is>
          <t>H2</t>
        </is>
      </c>
      <c r="B74" s="8" t="inlineStr">
        <is>
          <t>G ERPNext</t>
        </is>
      </c>
      <c r="C74" s="9" t="inlineStr">
        <is>
          <t>E7 ERPNext</t>
        </is>
      </c>
      <c r="D74" s="9" t="inlineStr">
        <is>
          <t>Pull live item list</t>
        </is>
      </c>
      <c r="E74" s="9" t="inlineStr">
        <is>
          <t>One click refreshes the reserved-code set from live ERPNext.</t>
        </is>
      </c>
      <c r="F74" s="8" t="inlineStr">
        <is>
          <t>Must</t>
        </is>
      </c>
      <c r="G74" s="8" t="n">
        <v>3</v>
      </c>
      <c r="H74" s="8" t="inlineStr">
        <is>
          <t>S0</t>
        </is>
      </c>
      <c r="I74" s="8" t="inlineStr">
        <is>
          <t>Done</t>
        </is>
      </c>
      <c r="J74" s="8" t="inlineStr">
        <is>
          <t>H1</t>
        </is>
      </c>
      <c r="K74" s="9" t="inlineStr"/>
      <c r="L74" s="36" t="inlineStr">
        <is>
          <t>Pre-existing, kept working</t>
        </is>
      </c>
      <c r="M74" s="36" t="inlineStr">
        <is>
          <t>Final segment: 10 tool calls, 238,124 tokens, ~3 min (the substantial rewrite happened in an earlier segment that failed on the spend-limit before reporting usage, so most of the real work here isn't reflected in that number).</t>
        </is>
      </c>
      <c r="N74" s="36" t="inlineStr">
        <is>
          <t>Pull-live-item-list already existed as /api/erp/pull; kept responding unchanged, with a new /api/v1 equivalent added alongside it.</t>
        </is>
      </c>
      <c r="O74" s="36" t="inlineStr">
        <is>
          <t>None.</t>
        </is>
      </c>
      <c r="P74" s="36" t="inlineStr">
        <is>
          <t>G ERPNext</t>
        </is>
      </c>
      <c r="Q74" s="36" t="inlineStr">
        <is>
          <t>Pre-existing, kept working</t>
        </is>
      </c>
      <c r="R74" s="36" t="inlineStr">
        <is>
          <t>Final segment: 10 tool calls, 238,124 tokens, ~3 min (the substantial rewrite happened in an earlier segment that failed on the spend-limit before reporting usage, so most of the real work here isn't reflected in that number).</t>
        </is>
      </c>
      <c r="S74" s="36" t="inlineStr">
        <is>
          <t>Pull-live-item-list already existed as /api/erp/pull; kept responding unchanged, with a new /api/v1 equivalent added alongside it.</t>
        </is>
      </c>
      <c r="T74" s="36" t="inlineStr">
        <is>
          <t>None.</t>
        </is>
      </c>
      <c r="U74" s="36" t="inlineStr">
        <is>
          <t>G ERPNext</t>
        </is>
      </c>
    </row>
    <row r="75" ht="30" customHeight="1">
      <c r="A75" s="8" t="inlineStr">
        <is>
          <t>H3</t>
        </is>
      </c>
      <c r="B75" s="8" t="inlineStr">
        <is>
          <t>G ERPNext</t>
        </is>
      </c>
      <c r="C75" s="9" t="inlineStr">
        <is>
          <t>E7 ERPNext</t>
        </is>
      </c>
      <c r="D75" s="9" t="inlineStr">
        <is>
          <t>Dry-run payload preview</t>
        </is>
      </c>
      <c r="E75" s="9" t="inlineStr">
        <is>
          <t>Shows the exact JSON that would be posted, writes nothing.</t>
        </is>
      </c>
      <c r="F75" s="8" t="inlineStr">
        <is>
          <t>Must</t>
        </is>
      </c>
      <c r="G75" s="8" t="n">
        <v>3</v>
      </c>
      <c r="H75" s="8" t="inlineStr">
        <is>
          <t>S0</t>
        </is>
      </c>
      <c r="I75" s="8" t="inlineStr">
        <is>
          <t>Done</t>
        </is>
      </c>
      <c r="J75" s="8" t="inlineStr">
        <is>
          <t>H1</t>
        </is>
      </c>
      <c r="K75" s="9" t="inlineStr"/>
      <c r="L75" s="36" t="inlineStr">
        <is>
          <t>Pre-existing, re-verified</t>
        </is>
      </c>
      <c r="M75" s="36" t="inlineStr">
        <is>
          <t>Final segment: 10 tool calls, 238,124 tokens, ~3 min (the substantial rewrite happened in an earlier segment that failed on the spend-limit before reporting usage, so most of the real work here isn't reflected in that number).</t>
        </is>
      </c>
      <c r="N75" s="36" t="inlineStr">
        <is>
          <t>Dry-run payload preview already existed; re-verified this session that it still prints the exact payload and writes nothing, including with the new guardrail/validation layered in front of it.</t>
        </is>
      </c>
      <c r="O75" s="36" t="inlineStr">
        <is>
          <t>None.</t>
        </is>
      </c>
      <c r="P75" s="36" t="inlineStr">
        <is>
          <t>G ERPNext</t>
        </is>
      </c>
      <c r="Q75" s="36" t="inlineStr">
        <is>
          <t>Pre-existing, re-verified</t>
        </is>
      </c>
      <c r="R75" s="36" t="inlineStr">
        <is>
          <t>Final segment: 10 tool calls, 238,124 tokens, ~3 min (the substantial rewrite happened in an earlier segment that failed on the spend-limit before reporting usage, so most of the real work here isn't reflected in that number).</t>
        </is>
      </c>
      <c r="S75" s="36" t="inlineStr">
        <is>
          <t>Dry-run payload preview already existed; re-verified this session that it still prints the exact payload and writes nothing, including with the new guardrail/validation layered in front of it.</t>
        </is>
      </c>
      <c r="T75" s="36" t="inlineStr">
        <is>
          <t>None.</t>
        </is>
      </c>
      <c r="U75" s="36" t="inlineStr">
        <is>
          <t>G ERPNext</t>
        </is>
      </c>
    </row>
    <row r="76" ht="30" customHeight="1">
      <c r="A76" s="10" t="inlineStr">
        <is>
          <t>D5</t>
        </is>
      </c>
      <c r="B76" s="10" t="inlineStr">
        <is>
          <t>C Matching</t>
        </is>
      </c>
      <c r="C76" s="11" t="inlineStr">
        <is>
          <t>E4 Matching &amp; LLM</t>
        </is>
      </c>
      <c r="D76" s="11" t="inlineStr">
        <is>
          <t>Choose the LLM provider and wire the key</t>
        </is>
      </c>
      <c r="E76" s="11" t="inlineStr">
        <is>
          <t>A provider is chosen, the key stored outside the repo, per-call cost logged.</t>
        </is>
      </c>
      <c r="F76" s="10" t="inlineStr">
        <is>
          <t>Must</t>
        </is>
      </c>
      <c r="G76" s="10" t="n">
        <v>3</v>
      </c>
      <c r="H76" s="10" t="inlineStr">
        <is>
          <t>NEEDS INPUT</t>
        </is>
      </c>
      <c r="I76" s="10" t="inlineStr">
        <is>
          <t>Blocked</t>
        </is>
      </c>
      <c r="J76" s="10" t="inlineStr">
        <is>
          <t>D4</t>
        </is>
      </c>
      <c r="K76" s="11" t="inlineStr">
        <is>
          <t>Needs: an API key</t>
        </is>
      </c>
      <c r="L76" s="36" t="inlineStr">
        <is>
          <t>Still blocked</t>
        </is>
      </c>
      <c r="M76" s="36" t="inlineStr">
        <is>
          <t>Final successful segment: 42 tool calls, 155,998 tokens, ~11.7hr elapsed (includes idle/queued time between resumes, not continuous active work).</t>
        </is>
      </c>
      <c r="N76" s="36" t="inlineStr">
        <is>
          <t>Needs a real API key from Anuraag - not attempted.</t>
        </is>
      </c>
      <c r="O76" s="36" t="inlineStr">
        <is>
          <t>N/A.</t>
        </is>
      </c>
      <c r="P76" s="36" t="inlineStr">
        <is>
          <t>C Matching</t>
        </is>
      </c>
      <c r="Q76" s="36" t="inlineStr">
        <is>
          <t>Still blocked</t>
        </is>
      </c>
      <c r="R76" s="36" t="inlineStr">
        <is>
          <t>Final successful segment: 42 tool calls, 155,998 tokens, ~11.7hr elapsed (includes idle/queued time between resumes, not continuous active work).</t>
        </is>
      </c>
      <c r="S76" s="36" t="inlineStr">
        <is>
          <t>Needs a real API key from Anuraag - not attempted.</t>
        </is>
      </c>
      <c r="T76" s="36" t="inlineStr">
        <is>
          <t>N/A.</t>
        </is>
      </c>
      <c r="U76" s="36" t="inlineStr">
        <is>
          <t>C Matching</t>
        </is>
      </c>
    </row>
    <row r="77" ht="30" customHeight="1">
      <c r="A77" s="10" t="inlineStr">
        <is>
          <t>D6</t>
        </is>
      </c>
      <c r="B77" s="10" t="inlineStr">
        <is>
          <t>C Matching</t>
        </is>
      </c>
      <c r="C77" s="11" t="inlineStr">
        <is>
          <t>E4 Matching &amp; LLM</t>
        </is>
      </c>
      <c r="D77" s="11" t="inlineStr">
        <is>
          <t>Calibrate the 60% threshold</t>
        </is>
      </c>
      <c r="E77" s="11" t="inlineStr">
        <is>
          <t>200 real invoice lines run; false accepts and false asks measured; the chosen number recorded.</t>
        </is>
      </c>
      <c r="F77" s="10" t="inlineStr">
        <is>
          <t>Must</t>
        </is>
      </c>
      <c r="G77" s="10" t="n">
        <v>8</v>
      </c>
      <c r="H77" s="10" t="inlineStr">
        <is>
          <t>NEEDS INPUT</t>
        </is>
      </c>
      <c r="I77" s="10" t="inlineStr">
        <is>
          <t>Blocked</t>
        </is>
      </c>
      <c r="J77" s="10" t="inlineStr">
        <is>
          <t>D5</t>
        </is>
      </c>
      <c r="K77" s="11" t="inlineStr">
        <is>
          <t>Needs: 200 real lines + a key</t>
        </is>
      </c>
      <c r="L77" s="36" t="inlineStr">
        <is>
          <t>Still blocked</t>
        </is>
      </c>
      <c r="M77" s="36" t="inlineStr">
        <is>
          <t>Final successful segment: 42 tool calls, 155,998 tokens, ~11.7hr elapsed (includes idle/queued time between resumes, not continuous active work).</t>
        </is>
      </c>
      <c r="N77" s="36" t="inlineStr">
        <is>
          <t>Needs 200 real invoice lines plus a key - not attempted.</t>
        </is>
      </c>
      <c r="O77" s="36" t="inlineStr">
        <is>
          <t>N/A.</t>
        </is>
      </c>
      <c r="P77" s="36" t="inlineStr">
        <is>
          <t>C Matching</t>
        </is>
      </c>
      <c r="Q77" s="36" t="inlineStr">
        <is>
          <t>Still blocked</t>
        </is>
      </c>
      <c r="R77" s="36" t="inlineStr">
        <is>
          <t>Final successful segment: 42 tool calls, 155,998 tokens, ~11.7hr elapsed (includes idle/queued time between resumes, not continuous active work).</t>
        </is>
      </c>
      <c r="S77" s="36" t="inlineStr">
        <is>
          <t>Needs 200 real invoice lines plus a key - not attempted.</t>
        </is>
      </c>
      <c r="T77" s="36" t="inlineStr">
        <is>
          <t>N/A.</t>
        </is>
      </c>
      <c r="U77" s="36" t="inlineStr">
        <is>
          <t>C Matching</t>
        </is>
      </c>
    </row>
    <row r="78" ht="30" customHeight="1">
      <c r="A78" s="10" t="inlineStr">
        <is>
          <t>F3</t>
        </is>
      </c>
      <c r="B78" s="10" t="inlineStr">
        <is>
          <t>E Create</t>
        </is>
      </c>
      <c r="C78" s="11" t="inlineStr">
        <is>
          <t>E5 Invoice &amp; OCR</t>
        </is>
      </c>
      <c r="D78" s="11" t="inlineStr">
        <is>
          <t>Install Tesseract on the host</t>
        </is>
      </c>
      <c r="E78" s="11" t="inlineStr">
        <is>
          <t>OCR verified working on the machine that will host the app.</t>
        </is>
      </c>
      <c r="F78" s="10" t="inlineStr">
        <is>
          <t>Must</t>
        </is>
      </c>
      <c r="G78" s="10" t="n">
        <v>2</v>
      </c>
      <c r="H78" s="10" t="inlineStr">
        <is>
          <t>NEEDS INPUT</t>
        </is>
      </c>
      <c r="I78" s="10" t="inlineStr">
        <is>
          <t>Blocked</t>
        </is>
      </c>
      <c r="J78" s="10" t="inlineStr">
        <is>
          <t>J7</t>
        </is>
      </c>
      <c r="K78" s="11" t="inlineStr">
        <is>
          <t>Needs: admin rights on the host</t>
        </is>
      </c>
      <c r="L78" s="36" t="inlineStr">
        <is>
          <t>Still blocked</t>
        </is>
      </c>
      <c r="M78" s="36" t="inlineStr">
        <is>
          <t>Session cut off by the account spend-limit event while writing its handover note; the file had already been fully written to disk before the connection died, and verification found nothing missing, so it was not resumed further.</t>
        </is>
      </c>
      <c r="N78" s="36" t="inlineStr">
        <is>
          <t>Needs admin rights on the host machine - not attempted.</t>
        </is>
      </c>
      <c r="O78" s="36" t="inlineStr">
        <is>
          <t>N/A.</t>
        </is>
      </c>
      <c r="P78" s="36" t="inlineStr">
        <is>
          <t>E Create</t>
        </is>
      </c>
      <c r="Q78" s="36" t="inlineStr">
        <is>
          <t>Still blocked</t>
        </is>
      </c>
      <c r="R78" s="36" t="inlineStr">
        <is>
          <t>Session cut off by the account spend-limit event while writing its handover note; the file had already been fully written to disk before the connection died, and verification found nothing missing, so it was not resumed further.</t>
        </is>
      </c>
      <c r="S78" s="36" t="inlineStr">
        <is>
          <t>Needs admin rights on the host machine - not attempted.</t>
        </is>
      </c>
      <c r="T78" s="36" t="inlineStr">
        <is>
          <t>N/A.</t>
        </is>
      </c>
      <c r="U78" s="36" t="inlineStr">
        <is>
          <t>E Create</t>
        </is>
      </c>
    </row>
    <row r="79" ht="30" customHeight="1">
      <c r="A79" s="10" t="inlineStr">
        <is>
          <t>F4</t>
        </is>
      </c>
      <c r="B79" s="10" t="inlineStr">
        <is>
          <t>E Create</t>
        </is>
      </c>
      <c r="C79" s="11" t="inlineStr">
        <is>
          <t>E5 Invoice &amp; OCR</t>
        </is>
      </c>
      <c r="D79" s="11" t="inlineStr">
        <is>
          <t>OCR accuracy on real invoices</t>
        </is>
      </c>
      <c r="E79" s="11" t="inlineStr">
        <is>
          <t>Ten real scanned invoices processed; per-field accuracy recorded; failures listed.</t>
        </is>
      </c>
      <c r="F79" s="10" t="inlineStr">
        <is>
          <t>Must</t>
        </is>
      </c>
      <c r="G79" s="10" t="n">
        <v>5</v>
      </c>
      <c r="H79" s="10" t="inlineStr">
        <is>
          <t>NEEDS INPUT</t>
        </is>
      </c>
      <c r="I79" s="10" t="inlineStr">
        <is>
          <t>Blocked</t>
        </is>
      </c>
      <c r="J79" s="10" t="inlineStr">
        <is>
          <t>F3</t>
        </is>
      </c>
      <c r="K79" s="11" t="inlineStr">
        <is>
          <t>Needs: 10 real scanned invoices</t>
        </is>
      </c>
      <c r="L79" s="36" t="inlineStr">
        <is>
          <t>Still blocked</t>
        </is>
      </c>
      <c r="M79" s="36" t="inlineStr">
        <is>
          <t>Session cut off by the account spend-limit event while writing its handover note; the file had already been fully written to disk before the connection died, and verification found nothing missing, so it was not resumed further.</t>
        </is>
      </c>
      <c r="N79" s="36" t="inlineStr">
        <is>
          <t>Needs 10 real scanned invoices - not attempted.</t>
        </is>
      </c>
      <c r="O79" s="36" t="inlineStr">
        <is>
          <t>N/A.</t>
        </is>
      </c>
      <c r="P79" s="36" t="inlineStr">
        <is>
          <t>E Create</t>
        </is>
      </c>
      <c r="Q79" s="36" t="inlineStr">
        <is>
          <t>Still blocked</t>
        </is>
      </c>
      <c r="R79" s="36" t="inlineStr">
        <is>
          <t>Session cut off by the account spend-limit event while writing its handover note; the file had already been fully written to disk before the connection died, and verification found nothing missing, so it was not resumed further.</t>
        </is>
      </c>
      <c r="S79" s="36" t="inlineStr">
        <is>
          <t>Needs 10 real scanned invoices - not attempted.</t>
        </is>
      </c>
      <c r="T79" s="36" t="inlineStr">
        <is>
          <t>N/A.</t>
        </is>
      </c>
      <c r="U79" s="36" t="inlineStr">
        <is>
          <t>E Create</t>
        </is>
      </c>
    </row>
    <row r="80" ht="30" customHeight="1">
      <c r="A80" s="10" t="inlineStr">
        <is>
          <t>F5</t>
        </is>
      </c>
      <c r="B80" s="10" t="inlineStr">
        <is>
          <t>E Create</t>
        </is>
      </c>
      <c r="C80" s="11" t="inlineStr">
        <is>
          <t>E5 Invoice &amp; OCR</t>
        </is>
      </c>
      <c r="D80" s="11" t="inlineStr">
        <is>
          <t>Line filter tuning</t>
        </is>
      </c>
      <c r="E80" s="11" t="inlineStr">
        <is>
          <t>GST rows, totals, bank details and signatures excluded on the real sample.</t>
        </is>
      </c>
      <c r="F80" s="10" t="inlineStr">
        <is>
          <t>Must</t>
        </is>
      </c>
      <c r="G80" s="10" t="n">
        <v>3</v>
      </c>
      <c r="H80" s="10" t="inlineStr">
        <is>
          <t>NEEDS INPUT</t>
        </is>
      </c>
      <c r="I80" s="10" t="inlineStr">
        <is>
          <t>Blocked</t>
        </is>
      </c>
      <c r="J80" s="10" t="inlineStr">
        <is>
          <t>F4</t>
        </is>
      </c>
      <c r="K80" s="11" t="inlineStr">
        <is>
          <t>Needs: the same invoices</t>
        </is>
      </c>
      <c r="L80" s="36" t="inlineStr">
        <is>
          <t>Still blocked</t>
        </is>
      </c>
      <c r="M80" s="36" t="inlineStr">
        <is>
          <t>Session cut off by the account spend-limit event while writing its handover note; the file had already been fully written to disk before the connection died, and verification found nothing missing, so it was not resumed further.</t>
        </is>
      </c>
      <c r="N80" s="36" t="inlineStr">
        <is>
          <t>Needs the same real invoices as F4 - not attempted.</t>
        </is>
      </c>
      <c r="O80" s="36" t="inlineStr">
        <is>
          <t>N/A.</t>
        </is>
      </c>
      <c r="P80" s="36" t="inlineStr">
        <is>
          <t>E Create</t>
        </is>
      </c>
      <c r="Q80" s="36" t="inlineStr">
        <is>
          <t>Still blocked</t>
        </is>
      </c>
      <c r="R80" s="36" t="inlineStr">
        <is>
          <t>Session cut off by the account spend-limit event while writing its handover note; the file had already been fully written to disk before the connection died, and verification found nothing missing, so it was not resumed further.</t>
        </is>
      </c>
      <c r="S80" s="36" t="inlineStr">
        <is>
          <t>Needs the same real invoices as F4 - not attempted.</t>
        </is>
      </c>
      <c r="T80" s="36" t="inlineStr">
        <is>
          <t>N/A.</t>
        </is>
      </c>
      <c r="U80" s="36" t="inlineStr">
        <is>
          <t>E Create</t>
        </is>
      </c>
    </row>
    <row r="81" ht="30" customHeight="1">
      <c r="A81" s="10" t="inlineStr">
        <is>
          <t>H9</t>
        </is>
      </c>
      <c r="B81" s="10" t="inlineStr">
        <is>
          <t>G ERPNext</t>
        </is>
      </c>
      <c r="C81" s="11" t="inlineStr">
        <is>
          <t>E7 ERPNext</t>
        </is>
      </c>
      <c r="D81" s="11" t="inlineStr">
        <is>
          <t>Service account and role</t>
        </is>
      </c>
      <c r="E81" s="11" t="inlineStr">
        <is>
          <t>A dedicated itemcode.studio user with an Item Code Studio role, API key not password, delete refused everywhere, transactions and permission doctypes refused.</t>
        </is>
      </c>
      <c r="F81" s="10" t="inlineStr">
        <is>
          <t>Must</t>
        </is>
      </c>
      <c r="G81" s="10" t="n">
        <v>5</v>
      </c>
      <c r="H81" s="10" t="inlineStr">
        <is>
          <t>NEEDS INPUT</t>
        </is>
      </c>
      <c r="I81" s="10" t="inlineStr">
        <is>
          <t>Blocked</t>
        </is>
      </c>
      <c r="J81" s="10" t="inlineStr"/>
      <c r="K81" s="11" t="inlineStr">
        <is>
          <t>Needs: someone with ERP admin rights</t>
        </is>
      </c>
      <c r="L81" s="36" t="inlineStr">
        <is>
          <t>Still blocked</t>
        </is>
      </c>
      <c r="M81" s="36" t="inlineStr">
        <is>
          <t>Final segment: 10 tool calls, 238,124 tokens, ~3 min (the substantial rewrite happened in an earlier segment that failed on the spend-limit before reporting usage, so most of the real work here isn't reflected in that number).</t>
        </is>
      </c>
      <c r="N81" s="36" t="inlineStr">
        <is>
          <t>Needs a real ERP admin to create the dedicated service account - not attempted; guardrail was built and proven against the closed list Agent G controls, which does not require the account to exist.</t>
        </is>
      </c>
      <c r="O81" s="36" t="inlineStr">
        <is>
          <t>N/A.</t>
        </is>
      </c>
      <c r="P81" s="36" t="inlineStr">
        <is>
          <t>G ERPNext</t>
        </is>
      </c>
      <c r="Q81" s="36" t="inlineStr">
        <is>
          <t>Still blocked</t>
        </is>
      </c>
      <c r="R81" s="36" t="inlineStr">
        <is>
          <t>Final segment: 10 tool calls, 238,124 tokens, ~3 min (the substantial rewrite happened in an earlier segment that failed on the spend-limit before reporting usage, so most of the real work here isn't reflected in that number).</t>
        </is>
      </c>
      <c r="S81" s="36" t="inlineStr">
        <is>
          <t>Needs a real ERP admin to create the dedicated service account - not attempted; guardrail was built and proven against the closed list Agent G controls, which does not require the account to exist.</t>
        </is>
      </c>
      <c r="T81" s="36" t="inlineStr">
        <is>
          <t>N/A.</t>
        </is>
      </c>
      <c r="U81" s="36" t="inlineStr">
        <is>
          <t>G ERPNext</t>
        </is>
      </c>
    </row>
    <row r="82" ht="30" customHeight="1">
      <c r="A82" s="10" t="inlineStr">
        <is>
          <t>H10</t>
        </is>
      </c>
      <c r="B82" s="10" t="inlineStr">
        <is>
          <t>G ERPNext</t>
        </is>
      </c>
      <c r="C82" s="11" t="inlineStr">
        <is>
          <t>E7 ERPNext</t>
        </is>
      </c>
      <c r="D82" s="11" t="inlineStr">
        <is>
          <t>Prove the guardrail</t>
        </is>
      </c>
      <c r="E82" s="11" t="inlineStr">
        <is>
          <t>The service account attempts one write to Stock Entry and one to Custom Field. Both must fail with 403.</t>
        </is>
      </c>
      <c r="F82" s="10" t="inlineStr">
        <is>
          <t>Must</t>
        </is>
      </c>
      <c r="G82" s="10" t="n">
        <v>3</v>
      </c>
      <c r="H82" s="10" t="inlineStr">
        <is>
          <t>NEEDS INPUT</t>
        </is>
      </c>
      <c r="I82" s="10" t="inlineStr">
        <is>
          <t>Blocked</t>
        </is>
      </c>
      <c r="J82" s="10" t="inlineStr">
        <is>
          <t>H9</t>
        </is>
      </c>
      <c r="K82" s="11" t="inlineStr">
        <is>
          <t>A guardrail nobody has tried is not a guardrail</t>
        </is>
      </c>
      <c r="L82" s="36" t="inlineStr">
        <is>
          <t>Built despite plan marking it blocked</t>
        </is>
      </c>
      <c r="M82" s="36" t="inlineStr">
        <is>
          <t>Final segment: 10 tool calls, 238,124 tokens, ~3 min (the substantial rewrite happened in an earlier segment that failed on the spend-limit before reporting usage, so most of the real work here isn't reflected in that number).</t>
        </is>
      </c>
      <c r="N82" s="36" t="inlineStr">
        <is>
          <t>The half of this test that doesn't need the live service account was written and runs today: proves core/erp.py's own closed list refuses Stock Entry, Custom Field, Purchase Order, User, Sales Invoice and a bare DELETE before any request is built - both by direct call and by an AST walk of the file confirming the string 'DELETE' never appears as live code.</t>
        </is>
      </c>
      <c r="O82" s="36" t="inlineStr">
        <is>
          <t>The live half (the actual service account attempting a write against real ERPNext and getting a real 403) is explicitly skipped with the reason stated, exactly as the brief allowed - 'write it, mark it skipped, and say so' - rather than left out entirely.</t>
        </is>
      </c>
      <c r="P82" s="36" t="inlineStr">
        <is>
          <t>G ERPNext</t>
        </is>
      </c>
      <c r="Q82" s="36" t="inlineStr">
        <is>
          <t>Built despite plan marking it blocked</t>
        </is>
      </c>
      <c r="R82" s="36" t="inlineStr">
        <is>
          <t>Final segment: 10 tool calls, 238,124 tokens, ~3 min (the substantial rewrite happened in an earlier segment that failed on the spend-limit before reporting usage, so most of the real work here isn't reflected in that number).</t>
        </is>
      </c>
      <c r="S82" s="36" t="inlineStr">
        <is>
          <t>The half of this test that doesn't need the live service account was written and runs today: proves core/erp.py's own closed list refuses Stock Entry, Custom Field, Purchase Order, User, Sales Invoice and a bare DELETE before any request is built - both by direct call and by an AST walk of the file confirming the string 'DELETE' never appears as live code.</t>
        </is>
      </c>
      <c r="T82" s="36" t="inlineStr">
        <is>
          <t>The live half (the actual service account attempting a write against real ERPNext and getting a real 403) is explicitly skipped with the reason stated, exactly as the brief allowed - 'write it, mark it skipped, and say so' - rather than left out entirely.</t>
        </is>
      </c>
      <c r="U82" s="36" t="inlineStr">
        <is>
          <t>G ERPNext</t>
        </is>
      </c>
    </row>
    <row r="83" ht="30" customHeight="1">
      <c r="A83" s="4" t="inlineStr">
        <is>
          <t>H11</t>
        </is>
      </c>
      <c r="B83" s="4" t="inlineStr">
        <is>
          <t>G ERPNext</t>
        </is>
      </c>
      <c r="C83" s="5" t="inlineStr">
        <is>
          <t>E7 ERPNext</t>
        </is>
      </c>
      <c r="D83" s="5" t="inlineStr">
        <is>
          <t>Sub-head to Item Group mapping</t>
        </is>
      </c>
      <c r="E83" s="5" t="inlineStr">
        <is>
          <t>Each of our 46 sub-heads maps to one of ERPNext 23 item groups. Mapping is data, not code, and is editable.</t>
        </is>
      </c>
      <c r="F83" s="4" t="inlineStr">
        <is>
          <t>Must</t>
        </is>
      </c>
      <c r="G83" s="4" t="n">
        <v>5</v>
      </c>
      <c r="H83" s="4" t="inlineStr">
        <is>
          <t>R5</t>
        </is>
      </c>
      <c r="I83" s="4" t="inlineStr">
        <is>
          <t>Not started</t>
        </is>
      </c>
      <c r="J83" s="4" t="inlineStr"/>
      <c r="K83" s="5" t="inlineStr">
        <is>
          <t>ERP has 23 groups, we have 889</t>
        </is>
      </c>
      <c r="L83" s="36" t="inlineStr">
        <is>
          <t>Gap - flagged, not built</t>
        </is>
      </c>
      <c r="M83" s="36" t="inlineStr">
        <is>
          <t>Final segment: 10 tool calls, 238,124 tokens, ~3 min (the substantial rewrite happened in an earlier segment that failed on the spend-limit before reporting usage, so most of the real work here isn't reflected in that number).</t>
        </is>
      </c>
      <c r="N83" s="36" t="inlineStr">
        <is>
          <t>Not built. core/resolve.py's commit() currently passes our own 889-group taxonomy name straight through as ERPNext's item_group; with the new validate_item_group() now in place, this will correctly refuse nearly every real push, since ERPNext only has ~23 groups.</t>
        </is>
      </c>
      <c r="O83" s="36" t="inlineStr">
        <is>
          <t>Deliberately not built by Agent G: CONTRACTS.md rule 4 forbids inventing or pushing a mapping, and the right fix is an operator-facing choice on the create screen (map a sub-head to a real ERPNext Item Group at creation time) - that's Agent E/F/C territory, not Agent G's. Flagged clearly as the single most consequential open gap in the ERPNext integration: every real push is a guaranteed, correctly-refused failure until this exists.</t>
        </is>
      </c>
      <c r="P83" s="36" t="inlineStr">
        <is>
          <t>G ERPNext</t>
        </is>
      </c>
      <c r="Q83" s="36" t="inlineStr">
        <is>
          <t>Gap - flagged, not built</t>
        </is>
      </c>
      <c r="R83" s="36" t="inlineStr">
        <is>
          <t>Final segment: 10 tool calls, 238,124 tokens, ~3 min (the substantial rewrite happened in an earlier segment that failed on the spend-limit before reporting usage, so most of the real work here isn't reflected in that number).</t>
        </is>
      </c>
      <c r="S83" s="36" t="inlineStr">
        <is>
          <t>Not built. core/resolve.py's commit() currently passes our own 889-group taxonomy name straight through as ERPNext's item_group; with the new validate_item_group() now in place, this will correctly refuse nearly every real push, since ERPNext only has ~23 groups.</t>
        </is>
      </c>
      <c r="T83" s="36" t="inlineStr">
        <is>
          <t>Deliberately not built by Agent G: CONTRACTS.md rule 4 forbids inventing or pushing a mapping, and the right fix is an operator-facing choice on the create screen (map a sub-head to a real ERPNext Item Group at creation time) - that's Agent E/F/C territory, not Agent G's. Flagged clearly as the single most consequential open gap in the ERPNext integration: every real push is a guaranteed, correctly-refused failure until this exists.</t>
        </is>
      </c>
      <c r="U83" s="36" t="inlineStr">
        <is>
          <t>G ERPNext</t>
        </is>
      </c>
    </row>
    <row r="84" ht="30" customHeight="1">
      <c r="A84" s="6" t="inlineStr">
        <is>
          <t>H12</t>
        </is>
      </c>
      <c r="B84" s="6" t="inlineStr">
        <is>
          <t>G ERPNext</t>
        </is>
      </c>
      <c r="C84" s="7" t="inlineStr">
        <is>
          <t>E7 ERPNext</t>
        </is>
      </c>
      <c r="D84" s="7" t="inlineStr">
        <is>
          <t>Validate UoM and HSN against ERP</t>
        </is>
      </c>
      <c r="E84" s="7" t="inlineStr">
        <is>
          <t>Stock UoM checked against the 240 UOM records and HSN against the 18,689 GST HSN Code records before any write.</t>
        </is>
      </c>
      <c r="F84" s="6" t="inlineStr">
        <is>
          <t>Must</t>
        </is>
      </c>
      <c r="G84" s="6" t="n">
        <v>3</v>
      </c>
      <c r="H84" s="6" t="inlineStr">
        <is>
          <t>R5</t>
        </is>
      </c>
      <c r="I84" s="6" t="inlineStr">
        <is>
          <t>Not started</t>
        </is>
      </c>
      <c r="J84" s="6" t="inlineStr">
        <is>
          <t>H11</t>
        </is>
      </c>
      <c r="K84" s="7" t="inlineStr">
        <is>
          <t>Stops bad values at source</t>
        </is>
      </c>
      <c r="L84" s="36" t="inlineStr">
        <is>
          <t>Built despite plan marking it 'Not started'/buildable - and it was</t>
        </is>
      </c>
      <c r="M84" s="36" t="inlineStr">
        <is>
          <t>Final segment: 10 tool calls, 238,124 tokens, ~3 min (the substantial rewrite happened in an earlier segment that failed on the spend-limit before reporting usage, so most of the real work here isn't reflected in that number).</t>
        </is>
      </c>
      <c r="N84" s="36" t="inlineStr">
        <is>
          <t>validate_uom()/validate_item_group()/validate_hsn() all run before any write is attempted, with UoM and Item Group cached in-process for 5 minutes and HSN checked per-value (18,689 records is too many to usefully cache wholesale).</t>
        </is>
      </c>
      <c r="O84" s="36" t="inlineStr">
        <is>
          <t>None of note.</t>
        </is>
      </c>
      <c r="P84" s="36" t="inlineStr">
        <is>
          <t>G ERPNext</t>
        </is>
      </c>
      <c r="Q84" s="36" t="inlineStr">
        <is>
          <t>Built despite plan marking it 'Not started'/buildable - and it was</t>
        </is>
      </c>
      <c r="R84" s="36" t="inlineStr">
        <is>
          <t>Final segment: 10 tool calls, 238,124 tokens, ~3 min (the substantial rewrite happened in an earlier segment that failed on the spend-limit before reporting usage, so most of the real work here isn't reflected in that number).</t>
        </is>
      </c>
      <c r="S84" s="36" t="inlineStr">
        <is>
          <t>validate_uom()/validate_item_group()/validate_hsn() all run before any write is attempted, with UoM and Item Group cached in-process for 5 minutes and HSN checked per-value (18,689 records is too many to usefully cache wholesale).</t>
        </is>
      </c>
      <c r="T84" s="36" t="inlineStr">
        <is>
          <t>None of note.</t>
        </is>
      </c>
      <c r="U84" s="36" t="inlineStr">
        <is>
          <t>G ERPNext</t>
        </is>
      </c>
    </row>
    <row r="85" ht="30" customHeight="1">
      <c r="A85" s="10" t="inlineStr">
        <is>
          <t>H13</t>
        </is>
      </c>
      <c r="B85" s="10" t="inlineStr">
        <is>
          <t>G ERPNext</t>
        </is>
      </c>
      <c r="C85" s="11" t="inlineStr">
        <is>
          <t>E7 ERPNext</t>
        </is>
      </c>
      <c r="D85" s="11" t="inlineStr">
        <is>
          <t>Populate the ERP specification fields</t>
        </is>
      </c>
      <c r="E85" s="11" t="inlineStr">
        <is>
          <t>item_specification_1-4 and item_vendor written on create so the decode lives in ERPNext too.</t>
        </is>
      </c>
      <c r="F85" s="10" t="inlineStr">
        <is>
          <t>Should</t>
        </is>
      </c>
      <c r="G85" s="10" t="n">
        <v>5</v>
      </c>
      <c r="H85" s="10" t="inlineStr">
        <is>
          <t>NEEDS INPUT</t>
        </is>
      </c>
      <c r="I85" s="10" t="inlineStr">
        <is>
          <t>Blocked</t>
        </is>
      </c>
      <c r="J85" s="10" t="inlineStr">
        <is>
          <t>H4</t>
        </is>
      </c>
      <c r="K85" s="11" t="inlineStr">
        <is>
          <t>Needs: decision on Wahni parallel framework</t>
        </is>
      </c>
      <c r="L85" s="36" t="inlineStr">
        <is>
          <t>Built despite plan marking it blocked</t>
        </is>
      </c>
      <c r="M85" s="36" t="inlineStr">
        <is>
          <t>Final segment: 10 tool calls, 238,124 tokens, ~3 min (the substantial rewrite happened in an earlier segment that failed on the spend-limit before reporting usage, so most of the real work here isn't reflected in that number).</t>
        </is>
      </c>
      <c r="N85" s="36" t="inlineStr">
        <is>
          <t>ensure_specification()/ensure_vendor() built and gated behind a new erp.populate_specs setting, default off - matching the brief's explicit instruction to build this as 'a defined process, not an improvisation', even though the plan row itself marks this NEEDS INPUT pending a decision on the Wahni parallel framework.</t>
        </is>
      </c>
      <c r="O85" s="36" t="inlineStr">
        <is>
          <t>Real, explicitly flagged gap: the exact field name marking which of the four slots an Item Code Specification record belongs to (item_specification_{slot}) is a documented best guess, never confirmed against live doctype metadata. Needs checking before erp.populate_specs is ever switched on for real. Also: no Settings UI toggle exists yet for this flag - it works via direct settings read, just has no form field.</t>
        </is>
      </c>
      <c r="P85" s="36" t="inlineStr">
        <is>
          <t>G ERPNext</t>
        </is>
      </c>
      <c r="Q85" s="36" t="inlineStr">
        <is>
          <t>Built despite plan marking it blocked</t>
        </is>
      </c>
      <c r="R85" s="36" t="inlineStr">
        <is>
          <t>Final segment: 10 tool calls, 238,124 tokens, ~3 min (the substantial rewrite happened in an earlier segment that failed on the spend-limit before reporting usage, so most of the real work here isn't reflected in that number).</t>
        </is>
      </c>
      <c r="S85" s="36" t="inlineStr">
        <is>
          <t>ensure_specification()/ensure_vendor() built and gated behind a new erp.populate_specs setting, default off - matching the brief's explicit instruction to build this as 'a defined process, not an improvisation', even though the plan row itself marks this NEEDS INPUT pending a decision on the Wahni parallel framework.</t>
        </is>
      </c>
      <c r="T85" s="36" t="inlineStr">
        <is>
          <t>Real, explicitly flagged gap: the exact field name marking which of the four slots an Item Code Specification record belongs to (item_specification_{slot}) is a documented best guess, never confirmed against live doctype metadata. Needs checking before erp.populate_specs is ever switched on for real. Also: no Settings UI toggle exists yet for this flag - it works via direct settings read, just has no form field.</t>
        </is>
      </c>
      <c r="U85" s="36" t="inlineStr">
        <is>
          <t>G ERPNext</t>
        </is>
      </c>
    </row>
    <row r="86" ht="30" customHeight="1">
      <c r="A86" s="6" t="inlineStr">
        <is>
          <t>H14</t>
        </is>
      </c>
      <c r="B86" s="6" t="inlineStr">
        <is>
          <t>G ERPNext</t>
        </is>
      </c>
      <c r="C86" s="7" t="inlineStr">
        <is>
          <t>E7 ERPNext</t>
        </is>
      </c>
      <c r="D86" s="7" t="inlineStr">
        <is>
          <t>Twice-daily sync with drift detection</t>
        </is>
      </c>
      <c r="E86" s="7" t="inlineStr">
        <is>
          <t>Runs at sync.times and on demand. Refreshes erp_item, reports items only in ERP, only local, and disagreeing fields. Conflicts are surfaced, never auto-resolved.</t>
        </is>
      </c>
      <c r="F86" s="6" t="inlineStr">
        <is>
          <t>Must</t>
        </is>
      </c>
      <c r="G86" s="6" t="n">
        <v>8</v>
      </c>
      <c r="H86" s="6" t="inlineStr">
        <is>
          <t>R5</t>
        </is>
      </c>
      <c r="I86" s="6" t="inlineStr">
        <is>
          <t>Not started</t>
        </is>
      </c>
      <c r="J86" s="6" t="inlineStr">
        <is>
          <t>H12</t>
        </is>
      </c>
      <c r="K86" s="7" t="inlineStr">
        <is>
          <t>New requirement</t>
        </is>
      </c>
      <c r="L86" s="36" t="inlineStr">
        <is>
          <t>Built &amp; verified</t>
        </is>
      </c>
      <c r="M86" s="36" t="inlineStr">
        <is>
          <t>Final segment: 10 tool calls, 238,124 tokens, ~3 min (the substantial rewrite happened in an earlier segment that failed on the spend-limit before reporting usage, so most of the real work here isn't reflected in that number).</t>
        </is>
      </c>
      <c r="N86" s="36" t="inlineStr">
        <is>
          <t>core.sync.sync() runs on demand and on a background schedule (sync.times, default 09:00/17:00), refreshes erp_item, and surfaces three kinds of drift (unknown_in_erp, missing_in_erp, field_conflict) to sync_log without ever auto-resolving any of them.</t>
        </is>
      </c>
      <c r="O86" s="36" t="inlineStr">
        <is>
          <t>None of note - this was new functionality with no prior version to reconcile against, and it verified cleanly against the not-yet-provisioned-VPS case.</t>
        </is>
      </c>
      <c r="P86" s="36" t="inlineStr">
        <is>
          <t>G ERPNext</t>
        </is>
      </c>
      <c r="Q86" s="36" t="inlineStr">
        <is>
          <t>Built &amp; verified</t>
        </is>
      </c>
      <c r="R86" s="36" t="inlineStr">
        <is>
          <t>Final segment: 10 tool calls, 238,124 tokens, ~3 min (the substantial rewrite happened in an earlier segment that failed on the spend-limit before reporting usage, so most of the real work here isn't reflected in that number).</t>
        </is>
      </c>
      <c r="S86" s="36" t="inlineStr">
        <is>
          <t>core.sync.sync() runs on demand and on a background schedule (sync.times, default 09:00/17:00), refreshes erp_item, and surfaces three kinds of drift (unknown_in_erp, missing_in_erp, field_conflict) to sync_log without ever auto-resolving any of them.</t>
        </is>
      </c>
      <c r="T86" s="36" t="inlineStr">
        <is>
          <t>None of note - this was new functionality with no prior version to reconcile against, and it verified cleanly against the not-yet-provisioned-VPS case.</t>
        </is>
      </c>
      <c r="U86" s="36" t="inlineStr">
        <is>
          <t>G ERPNext</t>
        </is>
      </c>
    </row>
    <row r="87" ht="30" customHeight="1">
      <c r="A87" s="10" t="inlineStr">
        <is>
          <t>H4</t>
        </is>
      </c>
      <c r="B87" s="10" t="inlineStr">
        <is>
          <t>G ERPNext</t>
        </is>
      </c>
      <c r="C87" s="11" t="inlineStr">
        <is>
          <t>E7 ERPNext</t>
        </is>
      </c>
      <c r="D87" s="11" t="inlineStr">
        <is>
          <t>Live create on UAT</t>
        </is>
      </c>
      <c r="E87" s="11" t="inlineStr">
        <is>
          <t>Submitting creates the Item in UAT with our code as item_code.</t>
        </is>
      </c>
      <c r="F87" s="10" t="inlineStr">
        <is>
          <t>Must</t>
        </is>
      </c>
      <c r="G87" s="10" t="n">
        <v>5</v>
      </c>
      <c r="H87" s="10" t="inlineStr">
        <is>
          <t>NEEDS INPUT</t>
        </is>
      </c>
      <c r="I87" s="10" t="inlineStr">
        <is>
          <t>Blocked</t>
        </is>
      </c>
      <c r="J87" s="10" t="inlineStr">
        <is>
          <t>H3</t>
        </is>
      </c>
      <c r="K87" s="11" t="inlineStr">
        <is>
          <t>Needs: your go-ahead to write</t>
        </is>
      </c>
      <c r="L87" s="36" t="inlineStr">
        <is>
          <t>Still blocked</t>
        </is>
      </c>
      <c r="M87" s="36" t="inlineStr">
        <is>
          <t>Final segment: 10 tool calls, 238,124 tokens, ~3 min (the substantial rewrite happened in an earlier segment that failed on the spend-limit before reporting usage, so most of the real work here isn't reflected in that number).</t>
        </is>
      </c>
      <c r="N87" s="36" t="inlineStr">
        <is>
          <t>Needs Anuraag's go-ahead to write to UAT for real - not attempted; the dry-run path (H3) is fully proven instead.</t>
        </is>
      </c>
      <c r="O87" s="36" t="inlineStr">
        <is>
          <t>N/A.</t>
        </is>
      </c>
      <c r="P87" s="36" t="inlineStr">
        <is>
          <t>G ERPNext</t>
        </is>
      </c>
      <c r="Q87" s="36" t="inlineStr">
        <is>
          <t>Still blocked</t>
        </is>
      </c>
      <c r="R87" s="36" t="inlineStr">
        <is>
          <t>Final segment: 10 tool calls, 238,124 tokens, ~3 min (the substantial rewrite happened in an earlier segment that failed on the spend-limit before reporting usage, so most of the real work here isn't reflected in that number).</t>
        </is>
      </c>
      <c r="S87" s="36" t="inlineStr">
        <is>
          <t>Needs Anuraag's go-ahead to write to UAT for real - not attempted; the dry-run path (H3) is fully proven instead.</t>
        </is>
      </c>
      <c r="T87" s="36" t="inlineStr">
        <is>
          <t>N/A.</t>
        </is>
      </c>
      <c r="U87" s="36" t="inlineStr">
        <is>
          <t>G ERPNext</t>
        </is>
      </c>
    </row>
    <row r="88" ht="30" customHeight="1">
      <c r="A88" s="10" t="inlineStr">
        <is>
          <t>H5</t>
        </is>
      </c>
      <c r="B88" s="10" t="inlineStr">
        <is>
          <t>G ERPNext</t>
        </is>
      </c>
      <c r="C88" s="11" t="inlineStr">
        <is>
          <t>E7 ERPNext</t>
        </is>
      </c>
      <c r="D88" s="11" t="inlineStr">
        <is>
          <t>Per-creator ERP credentials</t>
        </is>
      </c>
      <c r="E88" s="11" t="inlineStr">
        <is>
          <t>Each creator authenticates to ERPNext as themselves.</t>
        </is>
      </c>
      <c r="F88" s="10" t="inlineStr">
        <is>
          <t>Must</t>
        </is>
      </c>
      <c r="G88" s="10" t="n">
        <v>5</v>
      </c>
      <c r="H88" s="10" t="inlineStr">
        <is>
          <t>NEEDS INPUT</t>
        </is>
      </c>
      <c r="I88" s="10" t="inlineStr">
        <is>
          <t>Blocked</t>
        </is>
      </c>
      <c r="J88" s="10" t="inlineStr">
        <is>
          <t>A5</t>
        </is>
      </c>
      <c r="K88" s="11" t="inlineStr">
        <is>
          <t>Needs: ERP logins per person</t>
        </is>
      </c>
      <c r="L88" s="36" t="inlineStr">
        <is>
          <t>Still blocked</t>
        </is>
      </c>
      <c r="M88" s="36" t="inlineStr">
        <is>
          <t>Final segment: 10 tool calls, 238,124 tokens, ~3 min (the substantial rewrite happened in an earlier segment that failed on the spend-limit before reporting usage, so most of the real work here isn't reflected in that number).</t>
        </is>
      </c>
      <c r="N88" s="36" t="inlineStr">
        <is>
          <t>Needs per-creator ERP logins - not attempted; single shared credential (settings-table API key, or config.json UAT fallback) is what's built.</t>
        </is>
      </c>
      <c r="O88" s="36" t="inlineStr">
        <is>
          <t>N/A.</t>
        </is>
      </c>
      <c r="P88" s="36" t="inlineStr">
        <is>
          <t>G ERPNext</t>
        </is>
      </c>
      <c r="Q88" s="36" t="inlineStr">
        <is>
          <t>Still blocked</t>
        </is>
      </c>
      <c r="R88" s="36" t="inlineStr">
        <is>
          <t>Final segment: 10 tool calls, 238,124 tokens, ~3 min (the substantial rewrite happened in an earlier segment that failed on the spend-limit before reporting usage, so most of the real work here isn't reflected in that number).</t>
        </is>
      </c>
      <c r="S88" s="36" t="inlineStr">
        <is>
          <t>Needs per-creator ERP logins - not attempted; single shared credential (settings-table API key, or config.json UAT fallback) is what's built.</t>
        </is>
      </c>
      <c r="T88" s="36" t="inlineStr">
        <is>
          <t>N/A.</t>
        </is>
      </c>
      <c r="U88" s="36" t="inlineStr">
        <is>
          <t>G ERPNext</t>
        </is>
      </c>
    </row>
    <row r="89" ht="30" customHeight="1">
      <c r="A89" s="10" t="inlineStr">
        <is>
          <t>H6</t>
        </is>
      </c>
      <c r="B89" s="10" t="inlineStr">
        <is>
          <t>G ERPNext</t>
        </is>
      </c>
      <c r="C89" s="11" t="inlineStr">
        <is>
          <t>E7 ERPNext</t>
        </is>
      </c>
      <c r="D89" s="11" t="inlineStr">
        <is>
          <t>Rename cascade</t>
        </is>
      </c>
      <c r="E89" s="11" t="inlineStr">
        <is>
          <t>When an unfrozen item re-codes, the ERPNext rename is issued and confirmed.</t>
        </is>
      </c>
      <c r="F89" s="10" t="inlineStr">
        <is>
          <t>Must</t>
        </is>
      </c>
      <c r="G89" s="10" t="n">
        <v>5</v>
      </c>
      <c r="H89" s="10" t="inlineStr">
        <is>
          <t>NEEDS INPUT</t>
        </is>
      </c>
      <c r="I89" s="10" t="inlineStr">
        <is>
          <t>Blocked</t>
        </is>
      </c>
      <c r="J89" s="10" t="inlineStr">
        <is>
          <t>H4</t>
        </is>
      </c>
      <c r="K89" s="11" t="inlineStr">
        <is>
          <t>Needs: UAT writes first</t>
        </is>
      </c>
      <c r="L89" s="36" t="inlineStr">
        <is>
          <t>Still blocked</t>
        </is>
      </c>
      <c r="M89" s="36" t="inlineStr">
        <is>
          <t>Final segment: 10 tool calls, 238,124 tokens, ~3 min (the substantial rewrite happened in an earlier segment that failed on the spend-limit before reporting usage, so most of the real work here isn't reflected in that number).</t>
        </is>
      </c>
      <c r="N89" s="36" t="inlineStr">
        <is>
          <t>Depends on H4 (live UAT writes) - not attempted for real, but the underlying rename_item() call was restored (see deviation note) so it's ready the moment H4 unblocks.</t>
        </is>
      </c>
      <c r="O89" s="36" t="inlineStr">
        <is>
          <t>Judgement call: rename_item() isn't in the brief's literal ALLOWED list, but core/restructure.py (Agent D's live file) calls it from move_group() - dropping it would have broken a file Agent G doesn't own. Restored it under the same guardrails as every other write and flagged the deviation explicitly for review.</t>
        </is>
      </c>
      <c r="P89" s="36" t="inlineStr">
        <is>
          <t>G ERPNext</t>
        </is>
      </c>
      <c r="Q89" s="36" t="inlineStr">
        <is>
          <t>Still blocked</t>
        </is>
      </c>
      <c r="R89" s="36" t="inlineStr">
        <is>
          <t>Final segment: 10 tool calls, 238,124 tokens, ~3 min (the substantial rewrite happened in an earlier segment that failed on the spend-limit before reporting usage, so most of the real work here isn't reflected in that number).</t>
        </is>
      </c>
      <c r="S89" s="36" t="inlineStr">
        <is>
          <t>Depends on H4 (live UAT writes) - not attempted for real, but the underlying rename_item() call was restored (see deviation note) so it's ready the moment H4 unblocks.</t>
        </is>
      </c>
      <c r="T89" s="36" t="inlineStr">
        <is>
          <t>Judgement call: rename_item() isn't in the brief's literal ALLOWED list, but core/restructure.py (Agent D's live file) calls it from move_group() - dropping it would have broken a file Agent G doesn't own. Restored it under the same guardrails as every other write and flagged the deviation explicitly for review.</t>
        </is>
      </c>
      <c r="U89" s="36" t="inlineStr">
        <is>
          <t>G ERPNext</t>
        </is>
      </c>
    </row>
    <row r="90" ht="30" customHeight="1">
      <c r="A90" s="10" t="inlineStr">
        <is>
          <t>H7</t>
        </is>
      </c>
      <c r="B90" s="10" t="inlineStr">
        <is>
          <t>G ERPNext</t>
        </is>
      </c>
      <c r="C90" s="11" t="inlineStr">
        <is>
          <t>E7 ERPNext</t>
        </is>
      </c>
      <c r="D90" s="11" t="inlineStr">
        <is>
          <t>Drift reconciliation report</t>
        </is>
      </c>
      <c r="E90" s="11" t="inlineStr">
        <is>
          <t>Lists app-only, ERP-only and disagreeing fields.</t>
        </is>
      </c>
      <c r="F90" s="10" t="inlineStr">
        <is>
          <t>Should</t>
        </is>
      </c>
      <c r="G90" s="10" t="n">
        <v>5</v>
      </c>
      <c r="H90" s="10" t="inlineStr">
        <is>
          <t>NEEDS INPUT</t>
        </is>
      </c>
      <c r="I90" s="10" t="inlineStr">
        <is>
          <t>Blocked</t>
        </is>
      </c>
      <c r="J90" s="10" t="inlineStr">
        <is>
          <t>H2</t>
        </is>
      </c>
      <c r="K90" s="11" t="inlineStr">
        <is>
          <t>Needs: UAT writes first</t>
        </is>
      </c>
      <c r="L90" s="36" t="inlineStr">
        <is>
          <t>Built ahead of schedule, partially</t>
        </is>
      </c>
      <c r="M90" s="36" t="inlineStr">
        <is>
          <t>Final segment: 10 tool calls, 238,124 tokens, ~3 min (the substantial rewrite happened in an earlier segment that failed on the spend-limit before reporting usage, so most of the real work here isn't reflected in that number).</t>
        </is>
      </c>
      <c r="N90" s="36" t="inlineStr">
        <is>
          <t>Drift detection itself (unknown_in_erp/missing_in_erp/field_conflict) is built and working as part of H14, even though this row is separately marked NEEDS INPUT pending UAT writes.</t>
        </is>
      </c>
      <c r="O90" s="36" t="inlineStr">
        <is>
          <t>The reconciliation report's full 'app-only, ERP-only, disagreeing' presentation exists at the data layer (sync_log.conflicts); a dedicated UI for it specifically wasn't built as its own screen, since H14's work already covers the underlying mechanism this row asks for.</t>
        </is>
      </c>
      <c r="P90" s="36" t="inlineStr">
        <is>
          <t>G ERPNext</t>
        </is>
      </c>
      <c r="Q90" s="36" t="inlineStr">
        <is>
          <t>Built ahead of schedule, partially</t>
        </is>
      </c>
      <c r="R90" s="36" t="inlineStr">
        <is>
          <t>Final segment: 10 tool calls, 238,124 tokens, ~3 min (the substantial rewrite happened in an earlier segment that failed on the spend-limit before reporting usage, so most of the real work here isn't reflected in that number).</t>
        </is>
      </c>
      <c r="S90" s="36" t="inlineStr">
        <is>
          <t>Drift detection itself (unknown_in_erp/missing_in_erp/field_conflict) is built and working as part of H14, even though this row is separately marked NEEDS INPUT pending UAT writes.</t>
        </is>
      </c>
      <c r="T90" s="36" t="inlineStr">
        <is>
          <t>The reconciliation report's full 'app-only, ERP-only, disagreeing' presentation exists at the data layer (sync_log.conflicts); a dedicated UI for it specifically wasn't built as its own screen, since H14's work already covers the underlying mechanism this row asks for.</t>
        </is>
      </c>
      <c r="U90" s="36" t="inlineStr">
        <is>
          <t>G ERPNext</t>
        </is>
      </c>
    </row>
    <row r="91" ht="30" customHeight="1">
      <c r="A91" s="10" t="inlineStr">
        <is>
          <t>H8</t>
        </is>
      </c>
      <c r="B91" s="10" t="inlineStr">
        <is>
          <t>G ERPNext</t>
        </is>
      </c>
      <c r="C91" s="11" t="inlineStr">
        <is>
          <t>E7 ERPNext</t>
        </is>
      </c>
      <c r="D91" s="11" t="inlineStr">
        <is>
          <t>PROD go-live</t>
        </is>
      </c>
      <c r="E91" s="11" t="inlineStr">
        <is>
          <t>Writes enabled on PROD after a clean UAT week. Rollback path written down.</t>
        </is>
      </c>
      <c r="F91" s="10" t="inlineStr">
        <is>
          <t>Must</t>
        </is>
      </c>
      <c r="G91" s="10" t="n">
        <v>3</v>
      </c>
      <c r="H91" s="10" t="inlineStr">
        <is>
          <t>NEEDS INPUT</t>
        </is>
      </c>
      <c r="I91" s="10" t="inlineStr">
        <is>
          <t>Blocked</t>
        </is>
      </c>
      <c r="J91" s="10" t="inlineStr">
        <is>
          <t>H4;H5</t>
        </is>
      </c>
      <c r="K91" s="11" t="inlineStr">
        <is>
          <t>Needs: your sign-off</t>
        </is>
      </c>
      <c r="L91" s="36" t="inlineStr">
        <is>
          <t>Still blocked</t>
        </is>
      </c>
      <c r="M91" s="36" t="inlineStr">
        <is>
          <t>Final segment: 10 tool calls, 238,124 tokens, ~3 min (the substantial rewrite happened in an earlier segment that failed on the spend-limit before reporting usage, so most of the real work here isn't reflected in that number).</t>
        </is>
      </c>
      <c r="N91" s="36" t="inlineStr">
        <is>
          <t>Needs Anuraag's sign-off and a clean UAT week first - not attempted, correctly.</t>
        </is>
      </c>
      <c r="O91" s="36" t="inlineStr">
        <is>
          <t>N/A.</t>
        </is>
      </c>
      <c r="P91" s="36" t="inlineStr">
        <is>
          <t>G ERPNext</t>
        </is>
      </c>
      <c r="Q91" s="36" t="inlineStr">
        <is>
          <t>Still blocked</t>
        </is>
      </c>
      <c r="R91" s="36" t="inlineStr">
        <is>
          <t>Final segment: 10 tool calls, 238,124 tokens, ~3 min (the substantial rewrite happened in an earlier segment that failed on the spend-limit before reporting usage, so most of the real work here isn't reflected in that number).</t>
        </is>
      </c>
      <c r="S91" s="36" t="inlineStr">
        <is>
          <t>Needs Anuraag's sign-off and a clean UAT week first - not attempted, correctly.</t>
        </is>
      </c>
      <c r="T91" s="36" t="inlineStr">
        <is>
          <t>N/A.</t>
        </is>
      </c>
      <c r="U91" s="36" t="inlineStr">
        <is>
          <t>G ERPNext</t>
        </is>
      </c>
    </row>
    <row r="92" ht="30" customHeight="1">
      <c r="A92" s="10" t="inlineStr">
        <is>
          <t>I1</t>
        </is>
      </c>
      <c r="B92" s="10" t="inlineStr">
        <is>
          <t>— Anuraag</t>
        </is>
      </c>
      <c r="C92" s="11" t="inlineStr">
        <is>
          <t>E8 Data Quality</t>
        </is>
      </c>
      <c r="D92" s="11" t="inlineStr">
        <is>
          <t>Resolve 10 unmatched items</t>
        </is>
      </c>
      <c r="E92" s="11" t="inlineStr">
        <is>
          <t>The 10 seeded items with no matching group are assigned or corrected.</t>
        </is>
      </c>
      <c r="F92" s="10" t="inlineStr">
        <is>
          <t>Must</t>
        </is>
      </c>
      <c r="G92" s="10" t="n">
        <v>2</v>
      </c>
      <c r="H92" s="10" t="inlineStr">
        <is>
          <t>NEEDS INPUT</t>
        </is>
      </c>
      <c r="I92" s="10" t="inlineStr">
        <is>
          <t>Blocked</t>
        </is>
      </c>
      <c r="J92" s="10" t="inlineStr"/>
      <c r="K92" s="11" t="inlineStr">
        <is>
          <t>Needs: 10 judgement calls from you</t>
        </is>
      </c>
      <c r="L92" s="36" t="inlineStr">
        <is>
          <t>Still blocked</t>
        </is>
      </c>
      <c r="M92" s="36" t="inlineStr">
        <is>
          <t>N/A - not attempted this session by design.</t>
        </is>
      </c>
      <c r="N92" s="36" t="inlineStr">
        <is>
          <t>Business/data-quality judgement call reserved for Anuraag - not attempted this session, by design.</t>
        </is>
      </c>
      <c r="O92" s="36" t="inlineStr">
        <is>
          <t>N/A.</t>
        </is>
      </c>
      <c r="P92" s="36" t="inlineStr">
        <is>
          <t>— Anuraag</t>
        </is>
      </c>
      <c r="Q92" s="36" t="inlineStr">
        <is>
          <t>Still blocked</t>
        </is>
      </c>
      <c r="R92" s="36" t="inlineStr">
        <is>
          <t>N/A - not attempted this session by design.</t>
        </is>
      </c>
      <c r="S92" s="36" t="inlineStr">
        <is>
          <t>Business/data-quality judgement call reserved for Anuraag - not attempted this session, by design.</t>
        </is>
      </c>
      <c r="T92" s="36" t="inlineStr">
        <is>
          <t>N/A.</t>
        </is>
      </c>
      <c r="U92" s="36" t="inlineStr">
        <is>
          <t>— Anuraag</t>
        </is>
      </c>
    </row>
    <row r="93" ht="30" customHeight="1">
      <c r="A93" s="10" t="inlineStr">
        <is>
          <t>I2</t>
        </is>
      </c>
      <c r="B93" s="10" t="inlineStr">
        <is>
          <t>— Anuraag</t>
        </is>
      </c>
      <c r="C93" s="11" t="inlineStr">
        <is>
          <t>E8 Data Quality</t>
        </is>
      </c>
      <c r="D93" s="11" t="inlineStr">
        <is>
          <t>Triage 175 junk ERP codes</t>
        </is>
      </c>
      <c r="E93" s="11" t="inlineStr">
        <is>
          <t>LCO-1, IBC TANKS, Iron and bare numbers each disabled or re-coded.</t>
        </is>
      </c>
      <c r="F93" s="10" t="inlineStr">
        <is>
          <t>Should</t>
        </is>
      </c>
      <c r="G93" s="10" t="n">
        <v>5</v>
      </c>
      <c r="H93" s="10" t="inlineStr">
        <is>
          <t>NEEDS INPUT</t>
        </is>
      </c>
      <c r="I93" s="10" t="inlineStr">
        <is>
          <t>Blocked</t>
        </is>
      </c>
      <c r="J93" s="10" t="inlineStr">
        <is>
          <t>H4</t>
        </is>
      </c>
      <c r="K93" s="11" t="inlineStr">
        <is>
          <t>Needs: ERP write access</t>
        </is>
      </c>
      <c r="L93" s="36" t="inlineStr">
        <is>
          <t>Still blocked</t>
        </is>
      </c>
      <c r="M93" s="36" t="inlineStr">
        <is>
          <t>N/A - not attempted this session by design.</t>
        </is>
      </c>
      <c r="N93" s="36" t="inlineStr">
        <is>
          <t>Business/data-quality judgement call reserved for Anuraag - not attempted this session, by design.</t>
        </is>
      </c>
      <c r="O93" s="36" t="inlineStr">
        <is>
          <t>N/A.</t>
        </is>
      </c>
      <c r="P93" s="36" t="inlineStr">
        <is>
          <t>— Anuraag</t>
        </is>
      </c>
      <c r="Q93" s="36" t="inlineStr">
        <is>
          <t>Still blocked</t>
        </is>
      </c>
      <c r="R93" s="36" t="inlineStr">
        <is>
          <t>N/A - not attempted this session by design.</t>
        </is>
      </c>
      <c r="S93" s="36" t="inlineStr">
        <is>
          <t>Business/data-quality judgement call reserved for Anuraag - not attempted this session, by design.</t>
        </is>
      </c>
      <c r="T93" s="36" t="inlineStr">
        <is>
          <t>N/A.</t>
        </is>
      </c>
      <c r="U93" s="36" t="inlineStr">
        <is>
          <t>— Anuraag</t>
        </is>
      </c>
    </row>
    <row r="94" ht="30" customHeight="1">
      <c r="A94" s="10" t="inlineStr">
        <is>
          <t>I3</t>
        </is>
      </c>
      <c r="B94" s="10" t="inlineStr">
        <is>
          <t>— Anuraag</t>
        </is>
      </c>
      <c r="C94" s="11" t="inlineStr">
        <is>
          <t>E8 Data Quality</t>
        </is>
      </c>
      <c r="D94" s="11" t="inlineStr">
        <is>
          <t>Policy for 614 non-grammar codes</t>
        </is>
      </c>
      <c r="E94" s="11" t="inlineStr">
        <is>
          <t>Leave frozen, or plan a one-time re-code. Written either way.</t>
        </is>
      </c>
      <c r="F94" s="10" t="inlineStr">
        <is>
          <t>Must</t>
        </is>
      </c>
      <c r="G94" s="10" t="n">
        <v>3</v>
      </c>
      <c r="H94" s="10" t="inlineStr">
        <is>
          <t>NEEDS INPUT</t>
        </is>
      </c>
      <c r="I94" s="10" t="inlineStr">
        <is>
          <t>Blocked</t>
        </is>
      </c>
      <c r="J94" s="10" t="inlineStr"/>
      <c r="K94" s="11" t="inlineStr">
        <is>
          <t>Needs: a business decision</t>
        </is>
      </c>
      <c r="L94" s="36" t="inlineStr">
        <is>
          <t>Still blocked</t>
        </is>
      </c>
      <c r="M94" s="36" t="inlineStr">
        <is>
          <t>N/A - not attempted this session by design.</t>
        </is>
      </c>
      <c r="N94" s="36" t="inlineStr">
        <is>
          <t>Business/data-quality judgement call reserved for Anuraag - not attempted this session, by design.</t>
        </is>
      </c>
      <c r="O94" s="36" t="inlineStr">
        <is>
          <t>N/A.</t>
        </is>
      </c>
      <c r="P94" s="36" t="inlineStr">
        <is>
          <t>— Anuraag</t>
        </is>
      </c>
      <c r="Q94" s="36" t="inlineStr">
        <is>
          <t>Still blocked</t>
        </is>
      </c>
      <c r="R94" s="36" t="inlineStr">
        <is>
          <t>N/A - not attempted this session by design.</t>
        </is>
      </c>
      <c r="S94" s="36" t="inlineStr">
        <is>
          <t>Business/data-quality judgement call reserved for Anuraag - not attempted this session, by design.</t>
        </is>
      </c>
      <c r="T94" s="36" t="inlineStr">
        <is>
          <t>N/A.</t>
        </is>
      </c>
      <c r="U94" s="36" t="inlineStr">
        <is>
          <t>— Anuraag</t>
        </is>
      </c>
    </row>
    <row r="95" ht="30" customHeight="1">
      <c r="A95" s="10" t="inlineStr">
        <is>
          <t>I4</t>
        </is>
      </c>
      <c r="B95" s="10" t="inlineStr">
        <is>
          <t>— Anuraag</t>
        </is>
      </c>
      <c r="C95" s="11" t="inlineStr">
        <is>
          <t>E8 Data Quality</t>
        </is>
      </c>
      <c r="D95" s="11" t="inlineStr">
        <is>
          <t>Group de-duplication campaign</t>
        </is>
      </c>
      <c r="E95" s="11" t="inlineStr">
        <is>
          <t>889 groups reviewed, duplicates merged, an agreed target reached.</t>
        </is>
      </c>
      <c r="F95" s="10" t="inlineStr">
        <is>
          <t>Must</t>
        </is>
      </c>
      <c r="G95" s="10" t="n">
        <v>13</v>
      </c>
      <c r="H95" s="10" t="inlineStr">
        <is>
          <t>NEEDS INPUT</t>
        </is>
      </c>
      <c r="I95" s="10" t="inlineStr">
        <is>
          <t>Blocked</t>
        </is>
      </c>
      <c r="J95" s="10" t="inlineStr">
        <is>
          <t>G3</t>
        </is>
      </c>
      <c r="K95" s="11" t="inlineStr">
        <is>
          <t>Needs: your judgement on 889 groups</t>
        </is>
      </c>
      <c r="L95" s="36" t="inlineStr">
        <is>
          <t>Still blocked</t>
        </is>
      </c>
      <c r="M95" s="36" t="inlineStr">
        <is>
          <t>N/A - not attempted this session by design.</t>
        </is>
      </c>
      <c r="N95" s="36" t="inlineStr">
        <is>
          <t>Business/data-quality judgement call reserved for Anuraag - not attempted this session, by design.</t>
        </is>
      </c>
      <c r="O95" s="36" t="inlineStr">
        <is>
          <t>N/A.</t>
        </is>
      </c>
      <c r="P95" s="36" t="inlineStr">
        <is>
          <t>— Anuraag</t>
        </is>
      </c>
      <c r="Q95" s="36" t="inlineStr">
        <is>
          <t>Still blocked</t>
        </is>
      </c>
      <c r="R95" s="36" t="inlineStr">
        <is>
          <t>N/A - not attempted this session by design.</t>
        </is>
      </c>
      <c r="S95" s="36" t="inlineStr">
        <is>
          <t>Business/data-quality judgement call reserved for Anuraag - not attempted this session, by design.</t>
        </is>
      </c>
      <c r="T95" s="36" t="inlineStr">
        <is>
          <t>N/A.</t>
        </is>
      </c>
      <c r="U95" s="36" t="inlineStr">
        <is>
          <t>— Anuraag</t>
        </is>
      </c>
    </row>
    <row r="96" ht="30" customHeight="1">
      <c r="A96" s="10" t="inlineStr">
        <is>
          <t>I5</t>
        </is>
      </c>
      <c r="B96" s="10" t="inlineStr">
        <is>
          <t>— Anuraag</t>
        </is>
      </c>
      <c r="C96" s="11" t="inlineStr">
        <is>
          <t>E8 Data Quality</t>
        </is>
      </c>
      <c r="D96" s="11" t="inlineStr">
        <is>
          <t>Spec value de-duplication</t>
        </is>
      </c>
      <c r="E96" s="11" t="inlineStr">
        <is>
          <t>Within-group duplicate values merged, aliases preserved.</t>
        </is>
      </c>
      <c r="F96" s="10" t="inlineStr">
        <is>
          <t>Should</t>
        </is>
      </c>
      <c r="G96" s="10" t="n">
        <v>5</v>
      </c>
      <c r="H96" s="10" t="inlineStr">
        <is>
          <t>NEEDS INPUT</t>
        </is>
      </c>
      <c r="I96" s="10" t="inlineStr">
        <is>
          <t>Blocked</t>
        </is>
      </c>
      <c r="J96" s="10" t="inlineStr">
        <is>
          <t>I4</t>
        </is>
      </c>
      <c r="K96" s="11" t="inlineStr">
        <is>
          <t>Needs: I4 first</t>
        </is>
      </c>
      <c r="L96" s="36" t="inlineStr">
        <is>
          <t>Still blocked</t>
        </is>
      </c>
      <c r="M96" s="36" t="inlineStr">
        <is>
          <t>N/A - not attempted this session by design.</t>
        </is>
      </c>
      <c r="N96" s="36" t="inlineStr">
        <is>
          <t>Business/data-quality judgement call reserved for Anuraag - not attempted this session, by design.</t>
        </is>
      </c>
      <c r="O96" s="36" t="inlineStr">
        <is>
          <t>N/A.</t>
        </is>
      </c>
      <c r="P96" s="36" t="inlineStr">
        <is>
          <t>— Anuraag</t>
        </is>
      </c>
      <c r="Q96" s="36" t="inlineStr">
        <is>
          <t>Still blocked</t>
        </is>
      </c>
      <c r="R96" s="36" t="inlineStr">
        <is>
          <t>N/A - not attempted this session by design.</t>
        </is>
      </c>
      <c r="S96" s="36" t="inlineStr">
        <is>
          <t>Business/data-quality judgement call reserved for Anuraag - not attempted this session, by design.</t>
        </is>
      </c>
      <c r="T96" s="36" t="inlineStr">
        <is>
          <t>N/A.</t>
        </is>
      </c>
      <c r="U96" s="36" t="inlineStr">
        <is>
          <t>— Anuraag</t>
        </is>
      </c>
    </row>
    <row r="97" ht="30" customHeight="1">
      <c r="A97" s="10" t="inlineStr">
        <is>
          <t>I6</t>
        </is>
      </c>
      <c r="B97" s="10" t="inlineStr">
        <is>
          <t>— Anuraag</t>
        </is>
      </c>
      <c r="C97" s="11" t="inlineStr">
        <is>
          <t>E8 Data Quality</t>
        </is>
      </c>
      <c r="D97" s="11" t="inlineStr">
        <is>
          <t>HSN backfill</t>
        </is>
      </c>
      <c r="E97" s="11" t="inlineStr">
        <is>
          <t>Blank and 4-digit HSN filled where a correct 8-digit code exists.</t>
        </is>
      </c>
      <c r="F97" s="10" t="inlineStr">
        <is>
          <t>Should</t>
        </is>
      </c>
      <c r="G97" s="10" t="n">
        <v>5</v>
      </c>
      <c r="H97" s="10" t="inlineStr">
        <is>
          <t>NEEDS INPUT</t>
        </is>
      </c>
      <c r="I97" s="10" t="inlineStr">
        <is>
          <t>Blocked</t>
        </is>
      </c>
      <c r="J97" s="10" t="inlineStr"/>
      <c r="K97" s="11" t="inlineStr">
        <is>
          <t>Needs: CA verification</t>
        </is>
      </c>
      <c r="L97" s="36" t="inlineStr">
        <is>
          <t>Still blocked</t>
        </is>
      </c>
      <c r="M97" s="36" t="inlineStr">
        <is>
          <t>N/A - not attempted this session by design.</t>
        </is>
      </c>
      <c r="N97" s="36" t="inlineStr">
        <is>
          <t>Business/data-quality judgement call reserved for Anuraag - not attempted this session, by design.</t>
        </is>
      </c>
      <c r="O97" s="36" t="inlineStr">
        <is>
          <t>N/A.</t>
        </is>
      </c>
      <c r="P97" s="36" t="inlineStr">
        <is>
          <t>— Anuraag</t>
        </is>
      </c>
      <c r="Q97" s="36" t="inlineStr">
        <is>
          <t>Still blocked</t>
        </is>
      </c>
      <c r="R97" s="36" t="inlineStr">
        <is>
          <t>N/A - not attempted this session by design.</t>
        </is>
      </c>
      <c r="S97" s="36" t="inlineStr">
        <is>
          <t>Business/data-quality judgement call reserved for Anuraag - not attempted this session, by design.</t>
        </is>
      </c>
      <c r="T97" s="36" t="inlineStr">
        <is>
          <t>N/A.</t>
        </is>
      </c>
      <c r="U97" s="36" t="inlineStr">
        <is>
          <t>— Anuraag</t>
        </is>
      </c>
    </row>
    <row r="98" ht="30" customHeight="1">
      <c r="A98" s="10" t="inlineStr">
        <is>
          <t>J1</t>
        </is>
      </c>
      <c r="B98" s="10" t="inlineStr">
        <is>
          <t>H Deploy</t>
        </is>
      </c>
      <c r="C98" s="11" t="inlineStr">
        <is>
          <t>E9 Deploy &amp; Handover</t>
        </is>
      </c>
      <c r="D98" s="11" t="inlineStr">
        <is>
          <t>Nominate the host machine</t>
        </is>
      </c>
      <c r="E98" s="11" t="inlineStr">
        <is>
          <t>An always-on machine, sleep disabled, fixed hostname.</t>
        </is>
      </c>
      <c r="F98" s="10" t="inlineStr">
        <is>
          <t>Must</t>
        </is>
      </c>
      <c r="G98" s="10" t="n">
        <v>2</v>
      </c>
      <c r="H98" s="10" t="inlineStr">
        <is>
          <t>NEEDS INPUT</t>
        </is>
      </c>
      <c r="I98" s="10" t="inlineStr">
        <is>
          <t>Blocked</t>
        </is>
      </c>
      <c r="J98" s="10" t="inlineStr"/>
      <c r="K98" s="11" t="inlineStr">
        <is>
          <t>Needs: which machine</t>
        </is>
      </c>
      <c r="L98" s="36" t="inlineStr">
        <is>
          <t>Still blocked</t>
        </is>
      </c>
      <c r="M98" s="36" t="inlineStr">
        <is>
          <t>Final segment: 60 tool calls, 293,205 tokens, ~12 min (again, an earlier segment building the installer and starting VPS assets failed on the spend-limit before reporting usage).</t>
        </is>
      </c>
      <c r="N98" s="36" t="inlineStr">
        <is>
          <t>Needs Anuraag to nominate the host machine - not attempted.</t>
        </is>
      </c>
      <c r="O98" s="36" t="inlineStr">
        <is>
          <t>N/A.</t>
        </is>
      </c>
      <c r="P98" s="36" t="inlineStr">
        <is>
          <t>H Deploy</t>
        </is>
      </c>
      <c r="Q98" s="36" t="inlineStr">
        <is>
          <t>Still blocked</t>
        </is>
      </c>
      <c r="R98" s="36" t="inlineStr">
        <is>
          <t>Final segment: 60 tool calls, 293,205 tokens, ~12 min (again, an earlier segment building the installer and starting VPS assets failed on the spend-limit before reporting usage).</t>
        </is>
      </c>
      <c r="S98" s="36" t="inlineStr">
        <is>
          <t>Needs Anuraag to nominate the host machine - not attempted.</t>
        </is>
      </c>
      <c r="T98" s="36" t="inlineStr">
        <is>
          <t>N/A.</t>
        </is>
      </c>
      <c r="U98" s="36" t="inlineStr">
        <is>
          <t>H Deploy</t>
        </is>
      </c>
    </row>
    <row r="99" ht="30" customHeight="1">
      <c r="A99" s="10" t="inlineStr">
        <is>
          <t>J4</t>
        </is>
      </c>
      <c r="B99" s="10" t="inlineStr">
        <is>
          <t>H Deploy</t>
        </is>
      </c>
      <c r="C99" s="11" t="inlineStr">
        <is>
          <t>E9 Deploy &amp; Handover</t>
        </is>
      </c>
      <c r="D99" s="11" t="inlineStr">
        <is>
          <t>Operator SOP and training</t>
        </is>
      </c>
      <c r="E99" s="11" t="inlineStr">
        <is>
          <t>One-page sheet plus a session with the creators.</t>
        </is>
      </c>
      <c r="F99" s="10" t="inlineStr">
        <is>
          <t>Must</t>
        </is>
      </c>
      <c r="G99" s="10" t="n">
        <v>3</v>
      </c>
      <c r="H99" s="10" t="inlineStr">
        <is>
          <t>NEEDS INPUT</t>
        </is>
      </c>
      <c r="I99" s="10" t="inlineStr">
        <is>
          <t>Blocked</t>
        </is>
      </c>
      <c r="J99" s="10" t="inlineStr">
        <is>
          <t>J7</t>
        </is>
      </c>
      <c r="K99" s="11" t="inlineStr">
        <is>
          <t>Text drafted in PDR §8</t>
        </is>
      </c>
      <c r="L99" s="36" t="inlineStr">
        <is>
          <t>Still blocked</t>
        </is>
      </c>
      <c r="M99" s="36" t="inlineStr">
        <is>
          <t>Final segment: 60 tool calls, 293,205 tokens, ~12 min (again, an earlier segment building the installer and starting VPS assets failed on the spend-limit before reporting usage).</t>
        </is>
      </c>
      <c r="N99" s="36" t="inlineStr">
        <is>
          <t>Needs the host live first (J7) - not attempted; PDR section 8 already has drafted text to build from once it's relevant.</t>
        </is>
      </c>
      <c r="O99" s="36" t="inlineStr">
        <is>
          <t>N/A.</t>
        </is>
      </c>
      <c r="P99" s="36" t="inlineStr">
        <is>
          <t>H Deploy</t>
        </is>
      </c>
      <c r="Q99" s="36" t="inlineStr">
        <is>
          <t>Still blocked</t>
        </is>
      </c>
      <c r="R99" s="36" t="inlineStr">
        <is>
          <t>Final segment: 60 tool calls, 293,205 tokens, ~12 min (again, an earlier segment building the installer and starting VPS assets failed on the spend-limit before reporting usage).</t>
        </is>
      </c>
      <c r="S99" s="36" t="inlineStr">
        <is>
          <t>Needs the host live first (J7) - not attempted; PDR section 8 already has drafted text to build from once it's relevant.</t>
        </is>
      </c>
      <c r="T99" s="36" t="inlineStr">
        <is>
          <t>N/A.</t>
        </is>
      </c>
      <c r="U99" s="36" t="inlineStr">
        <is>
          <t>H Deploy</t>
        </is>
      </c>
    </row>
    <row r="100" ht="30" customHeight="1">
      <c r="A100" s="10" t="inlineStr">
        <is>
          <t>J5</t>
        </is>
      </c>
      <c r="B100" s="10" t="inlineStr">
        <is>
          <t>H Deploy</t>
        </is>
      </c>
      <c r="C100" s="11" t="inlineStr">
        <is>
          <t>E9 Deploy &amp; Handover</t>
        </is>
      </c>
      <c r="D100" s="11" t="inlineStr">
        <is>
          <t>Support runbook</t>
        </is>
      </c>
      <c r="E100" s="11" t="inlineStr">
        <is>
          <t>Restart, restore, add a user, rotate a key, who to call.</t>
        </is>
      </c>
      <c r="F100" s="10" t="inlineStr">
        <is>
          <t>Must</t>
        </is>
      </c>
      <c r="G100" s="10" t="n">
        <v>3</v>
      </c>
      <c r="H100" s="10" t="inlineStr">
        <is>
          <t>NEEDS INPUT</t>
        </is>
      </c>
      <c r="I100" s="10" t="inlineStr">
        <is>
          <t>Blocked</t>
        </is>
      </c>
      <c r="J100" s="10" t="inlineStr">
        <is>
          <t>J2</t>
        </is>
      </c>
      <c r="K100" s="11" t="inlineStr"/>
      <c r="L100" s="36" t="inlineStr">
        <is>
          <t>Built &amp; verified</t>
        </is>
      </c>
      <c r="M100" s="36" t="inlineStr">
        <is>
          <t>Final segment: 60 tool calls, 293,205 tokens, ~12 min (again, an earlier segment building the installer and starting VPS assets failed on the spend-limit before reporting usage).</t>
        </is>
      </c>
      <c r="N100" s="36" t="inlineStr">
        <is>
          <t>Restart/restore/add-a-user/rotate-a-key runbook written into HANDOVER.md, grounded in what was actually tested this session, not a template.</t>
        </is>
      </c>
      <c r="O100" s="36" t="inlineStr">
        <is>
          <t>None of note.</t>
        </is>
      </c>
      <c r="P100" s="36" t="inlineStr">
        <is>
          <t>H Deploy</t>
        </is>
      </c>
      <c r="Q100" s="36" t="inlineStr">
        <is>
          <t>Built &amp; verified</t>
        </is>
      </c>
      <c r="R100" s="36" t="inlineStr">
        <is>
          <t>Final segment: 60 tool calls, 293,205 tokens, ~12 min (again, an earlier segment building the installer and starting VPS assets failed on the spend-limit before reporting usage).</t>
        </is>
      </c>
      <c r="S100" s="36" t="inlineStr">
        <is>
          <t>Restart/restore/add-a-user/rotate-a-key runbook written into HANDOVER.md, grounded in what was actually tested this session, not a template.</t>
        </is>
      </c>
      <c r="T100" s="36" t="inlineStr">
        <is>
          <t>None of note.</t>
        </is>
      </c>
      <c r="U100" s="36" t="inlineStr">
        <is>
          <t>H Deploy</t>
        </is>
      </c>
    </row>
    <row r="101" ht="30" customHeight="1">
      <c r="A101" s="10" t="inlineStr">
        <is>
          <t>J6</t>
        </is>
      </c>
      <c r="B101" s="10" t="inlineStr">
        <is>
          <t>H Deploy</t>
        </is>
      </c>
      <c r="C101" s="11" t="inlineStr">
        <is>
          <t>E9 Deploy &amp; Handover</t>
        </is>
      </c>
      <c r="D101" s="11" t="inlineStr">
        <is>
          <t>Two-week post-launch watch</t>
        </is>
      </c>
      <c r="E101" s="11" t="inlineStr">
        <is>
          <t>Daily check of codes issued, questions raised and mismatches, with a written close-out.</t>
        </is>
      </c>
      <c r="F101" s="10" t="inlineStr">
        <is>
          <t>Must</t>
        </is>
      </c>
      <c r="G101" s="10" t="n">
        <v>5</v>
      </c>
      <c r="H101" s="10" t="inlineStr">
        <is>
          <t>NEEDS INPUT</t>
        </is>
      </c>
      <c r="I101" s="10" t="inlineStr">
        <is>
          <t>Blocked</t>
        </is>
      </c>
      <c r="J101" s="10" t="inlineStr">
        <is>
          <t>H8</t>
        </is>
      </c>
      <c r="K101" s="11" t="inlineStr">
        <is>
          <t>Needs: two weeks to pass</t>
        </is>
      </c>
      <c r="L101" s="36" t="inlineStr">
        <is>
          <t>Still blocked</t>
        </is>
      </c>
      <c r="M101" s="36" t="inlineStr">
        <is>
          <t>Final segment: 60 tool calls, 293,205 tokens, ~12 min (again, an earlier segment building the installer and starting VPS assets failed on the spend-limit before reporting usage).</t>
        </is>
      </c>
      <c r="N101" s="36" t="inlineStr">
        <is>
          <t>Needs two real weeks to pass post-launch - not attempted, correctly.</t>
        </is>
      </c>
      <c r="O101" s="36" t="inlineStr">
        <is>
          <t>N/A.</t>
        </is>
      </c>
      <c r="P101" s="36" t="inlineStr">
        <is>
          <t>H Deploy</t>
        </is>
      </c>
      <c r="Q101" s="36" t="inlineStr">
        <is>
          <t>Still blocked</t>
        </is>
      </c>
      <c r="R101" s="36" t="inlineStr">
        <is>
          <t>Final segment: 60 tool calls, 293,205 tokens, ~12 min (again, an earlier segment building the installer and starting VPS assets failed on the spend-limit before reporting usage).</t>
        </is>
      </c>
      <c r="S101" s="36" t="inlineStr">
        <is>
          <t>Needs two real weeks to pass post-launch - not attempted, correctly.</t>
        </is>
      </c>
      <c r="T101" s="36" t="inlineStr">
        <is>
          <t>N/A.</t>
        </is>
      </c>
      <c r="U101" s="36" t="inlineStr">
        <is>
          <t>H Deploy</t>
        </is>
      </c>
    </row>
    <row r="102" ht="30" customHeight="1">
      <c r="A102" s="12" t="inlineStr">
        <is>
          <t>G6</t>
        </is>
      </c>
      <c r="B102" s="12" t="inlineStr">
        <is>
          <t>F Master</t>
        </is>
      </c>
      <c r="C102" s="13" t="inlineStr">
        <is>
          <t>E6 Master &amp; Restructure</t>
        </is>
      </c>
      <c r="D102" s="13" t="inlineStr">
        <is>
          <t>Bulk operations</t>
        </is>
      </c>
      <c r="E102" s="13" t="inlineStr">
        <is>
          <t>Select many items and move or edit them in one previewed action.</t>
        </is>
      </c>
      <c r="F102" s="12" t="inlineStr">
        <is>
          <t>Could</t>
        </is>
      </c>
      <c r="G102" s="12" t="n">
        <v>5</v>
      </c>
      <c r="H102" s="12" t="inlineStr">
        <is>
          <t>BACKLOG</t>
        </is>
      </c>
      <c r="I102" s="12" t="inlineStr">
        <is>
          <t>Not started</t>
        </is>
      </c>
      <c r="J102" s="12" t="inlineStr">
        <is>
          <t>G3</t>
        </is>
      </c>
      <c r="K102" s="13" t="inlineStr">
        <is>
          <t>Deferred, not needed for go-live</t>
        </is>
      </c>
      <c r="L102" s="36" t="inlineStr">
        <is>
          <t>Deferred</t>
        </is>
      </c>
      <c r="M102" s="36" t="inlineStr">
        <is>
          <t>Single successful segment: 64 tool calls, 246,199 tokens, ~19.5 min.</t>
        </is>
      </c>
      <c r="N102" s="36" t="inlineStr">
        <is>
          <t>Backlog per the plan, correctly not attempted.</t>
        </is>
      </c>
      <c r="O102" s="36" t="inlineStr">
        <is>
          <t>N/A.</t>
        </is>
      </c>
      <c r="P102" s="36" t="inlineStr">
        <is>
          <t>F Master</t>
        </is>
      </c>
      <c r="Q102" s="36" t="inlineStr">
        <is>
          <t>Deferred</t>
        </is>
      </c>
      <c r="R102" s="36" t="inlineStr">
        <is>
          <t>Single successful segment: 64 tool calls, 246,199 tokens, ~19.5 min.</t>
        </is>
      </c>
      <c r="S102" s="36" t="inlineStr">
        <is>
          <t>Backlog per the plan, correctly not attempted.</t>
        </is>
      </c>
      <c r="T102" s="36" t="inlineStr">
        <is>
          <t>N/A.</t>
        </is>
      </c>
      <c r="U102" s="36" t="inlineStr">
        <is>
          <t>F Master</t>
        </is>
      </c>
    </row>
    <row r="103" ht="30" customHeight="1">
      <c r="A103" s="12" t="inlineStr">
        <is>
          <t>C9</t>
        </is>
      </c>
      <c r="B103" s="12" t="inlineStr">
        <is>
          <t>D Engine</t>
        </is>
      </c>
      <c r="C103" s="13" t="inlineStr">
        <is>
          <t>E3 Code Engine</t>
        </is>
      </c>
      <c r="D103" s="13" t="inlineStr">
        <is>
          <t>Vacancy claim override</t>
        </is>
      </c>
      <c r="E103" s="13" t="inlineStr">
        <is>
          <t>An admin can release or reassign a parked number, with a reason recorded.</t>
        </is>
      </c>
      <c r="F103" s="12" t="inlineStr">
        <is>
          <t>Could</t>
        </is>
      </c>
      <c r="G103" s="12" t="n">
        <v>3</v>
      </c>
      <c r="H103" s="12" t="inlineStr">
        <is>
          <t>BACKLOG</t>
        </is>
      </c>
      <c r="I103" s="12" t="inlineStr">
        <is>
          <t>Not started</t>
        </is>
      </c>
      <c r="J103" s="12" t="inlineStr">
        <is>
          <t>C4</t>
        </is>
      </c>
      <c r="K103" s="13" t="inlineStr">
        <is>
          <t>Deferred</t>
        </is>
      </c>
      <c r="L103" s="36" t="inlineStr">
        <is>
          <t>Deferred</t>
        </is>
      </c>
      <c r="M103" s="36" t="inlineStr">
        <is>
          <t>Single successful segment: 61 tool calls, 199,839 tokens, ~17 min.</t>
        </is>
      </c>
      <c r="N103" s="36" t="inlineStr">
        <is>
          <t>Backlog per the plan, correctly not attempted.</t>
        </is>
      </c>
      <c r="O103" s="36" t="inlineStr">
        <is>
          <t>N/A.</t>
        </is>
      </c>
      <c r="P103" s="36" t="inlineStr">
        <is>
          <t>D Engine</t>
        </is>
      </c>
      <c r="Q103" s="36" t="inlineStr">
        <is>
          <t>Deferred</t>
        </is>
      </c>
      <c r="R103" s="36" t="inlineStr">
        <is>
          <t>Single successful segment: 61 tool calls, 199,839 tokens, ~17 min.</t>
        </is>
      </c>
      <c r="S103" s="36" t="inlineStr">
        <is>
          <t>Backlog per the plan, correctly not attempted.</t>
        </is>
      </c>
      <c r="T103" s="36" t="inlineStr">
        <is>
          <t>N/A.</t>
        </is>
      </c>
      <c r="U103" s="36" t="inlineStr">
        <is>
          <t>D Engine</t>
        </is>
      </c>
    </row>
    <row r="104">
      <c r="A104" s="14" t="n"/>
      <c r="B104" s="14" t="n"/>
      <c r="C104" s="14" t="n"/>
      <c r="D104" s="15" t="inlineStr">
        <is>
          <t>TOTAL</t>
        </is>
      </c>
      <c r="E104" s="14" t="n"/>
      <c r="F104" s="14" t="n"/>
      <c r="G104" s="15">
        <f>SUM(G5:G103)</f>
        <v/>
      </c>
      <c r="H104" s="14" t="n"/>
      <c r="I104" s="14" t="n"/>
      <c r="J104" s="14" t="n"/>
      <c r="K104" s="14" t="n"/>
    </row>
  </sheetData>
  <autoFilter ref="A4:K103"/>
  <dataValidations count="1">
    <dataValidation sqref="I5:I103" showDropDown="0" showInputMessage="0" showErrorMessage="0" allowBlank="1" type="list">
      <formula1>"Not started,In progress,Blocked,Done"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8"/>
  <sheetViews>
    <sheetView showGridLines="0" workbookViewId="0">
      <selection activeCell="A1" sqref="A1"/>
    </sheetView>
  </sheetViews>
  <sheetFormatPr baseColWidth="8" defaultRowHeight="15"/>
  <cols>
    <col width="13" customWidth="1" min="1" max="1"/>
    <col width="74" customWidth="1" min="2" max="2"/>
    <col width="10" customWidth="1" min="3" max="3"/>
    <col width="10" customWidth="1" min="4" max="4"/>
    <col width="9" customWidth="1" min="5" max="5"/>
    <col width="12" customWidth="1" min="6" max="6"/>
  </cols>
  <sheetData>
    <row r="1">
      <c r="A1" s="1" t="inlineStr">
        <is>
          <t>Build runs — one sitting, today</t>
        </is>
      </c>
    </row>
    <row r="2">
      <c r="A2" s="2" t="inlineStr">
        <is>
          <t>Points roll up from the Delivery Plan. Each run ends with something you can open and use.</t>
        </is>
      </c>
    </row>
    <row r="4">
      <c r="A4" s="16" t="inlineStr">
        <is>
          <t>Run</t>
        </is>
      </c>
      <c r="B4" s="16" t="inlineStr">
        <is>
          <t>What it delivers</t>
        </is>
      </c>
      <c r="C4" s="16" t="inlineStr">
        <is>
          <t>Points</t>
        </is>
      </c>
      <c r="D4" s="16" t="inlineStr">
        <is>
          <t>Stories</t>
        </is>
      </c>
      <c r="E4" s="16" t="inlineStr">
        <is>
          <t>Done</t>
        </is>
      </c>
      <c r="F4" s="16" t="inlineStr">
        <is>
          <t>Complete %</t>
        </is>
      </c>
    </row>
    <row r="5" ht="34" customHeight="1">
      <c r="A5" s="17" t="inlineStr">
        <is>
          <t>S0</t>
        </is>
      </c>
      <c r="B5" s="18" t="inlineStr">
        <is>
          <t>Already built: the grammar, all three phases, matching, invoice extraction, the master, restructuring, export, ERP read</t>
        </is>
      </c>
      <c r="C5" s="19">
        <f>SUMIFS('Delivery Plan'!$G:$G,'Delivery Plan'!$H:$H,$A5)</f>
        <v/>
      </c>
      <c r="D5" s="19">
        <f>COUNTIFS('Delivery Plan'!$H:$H,$A5)</f>
        <v/>
      </c>
      <c r="E5" s="19">
        <f>SUMIFS('Delivery Plan'!$G:$G,'Delivery Plan'!$H:$H,$A5,'Delivery Plan'!$I:$I,"Done")</f>
        <v/>
      </c>
      <c r="F5" s="20">
        <f>IFERROR(E5/C5,0)</f>
        <v/>
      </c>
    </row>
    <row r="6" ht="34" customHeight="1">
      <c r="A6" s="21" t="inlineStr">
        <is>
          <t>R1</t>
        </is>
      </c>
      <c r="B6" s="5" t="inlineStr">
        <is>
          <t>MiniMines theme and logo, the split landing page — decoder one side, directory the other, log in on top. Stats block removed</t>
        </is>
      </c>
      <c r="C6" s="4">
        <f>SUMIFS('Delivery Plan'!$G:$G,'Delivery Plan'!$H:$H,$A6)</f>
        <v/>
      </c>
      <c r="D6" s="4">
        <f>COUNTIFS('Delivery Plan'!$H:$H,$A6)</f>
        <v/>
      </c>
      <c r="E6" s="4">
        <f>SUMIFS('Delivery Plan'!$G:$G,'Delivery Plan'!$H:$H,$A6,'Delivery Plan'!$I:$I,"Done")</f>
        <v/>
      </c>
      <c r="F6" s="22">
        <f>IFERROR(E6/C6,0)</f>
        <v/>
      </c>
    </row>
    <row r="7" ht="34" customHeight="1">
      <c r="A7" s="21" t="inlineStr">
        <is>
          <t>R2</t>
        </is>
      </c>
      <c r="B7" s="5" t="inlineStr">
        <is>
          <t>Login, sessions, attribution from the session, user management, the creator shell behind the gate</t>
        </is>
      </c>
      <c r="C7" s="4">
        <f>SUMIFS('Delivery Plan'!$G:$G,'Delivery Plan'!$H:$H,$A7)</f>
        <v/>
      </c>
      <c r="D7" s="4">
        <f>COUNTIFS('Delivery Plan'!$H:$H,$A7)</f>
        <v/>
      </c>
      <c r="E7" s="4">
        <f>SUMIFS('Delivery Plan'!$G:$G,'Delivery Plan'!$H:$H,$A7,'Delivery Plan'!$I:$I,"Done")</f>
        <v/>
      </c>
      <c r="F7" s="22">
        <f>IFERROR(E7/C7,0)</f>
        <v/>
      </c>
    </row>
    <row r="8" ht="34" customHeight="1">
      <c r="A8" s="21" t="inlineStr">
        <is>
          <t>R3</t>
        </is>
      </c>
      <c r="B8" s="5" t="inlineStr">
        <is>
          <t>The create screen: paste or upload an invoice, three phases shown per line, cascading head-sub-head-group dropdowns, live code recomputation, edit before submit</t>
        </is>
      </c>
      <c r="C8" s="4">
        <f>SUMIFS('Delivery Plan'!$G:$G,'Delivery Plan'!$H:$H,$A8)</f>
        <v/>
      </c>
      <c r="D8" s="4">
        <f>COUNTIFS('Delivery Plan'!$H:$H,$A8)</f>
        <v/>
      </c>
      <c r="E8" s="4">
        <f>SUMIFS('Delivery Plan'!$G:$G,'Delivery Plan'!$H:$H,$A8,'Delivery Plan'!$I:$I,"Done")</f>
        <v/>
      </c>
      <c r="F8" s="22">
        <f>IFERROR(E8/C8,0)</f>
        <v/>
      </c>
    </row>
    <row r="9" ht="34" customHeight="1">
      <c r="A9" s="21" t="inlineStr">
        <is>
          <t>R4</t>
        </is>
      </c>
      <c r="B9" s="5" t="inlineStr">
        <is>
          <t>Item master as a fully editable directory, revision history on every save, one-click revert, activity feed with field-level diffs</t>
        </is>
      </c>
      <c r="C9" s="4">
        <f>SUMIFS('Delivery Plan'!$G:$G,'Delivery Plan'!$H:$H,$A9)</f>
        <v/>
      </c>
      <c r="D9" s="4">
        <f>COUNTIFS('Delivery Plan'!$H:$H,$A9)</f>
        <v/>
      </c>
      <c r="E9" s="4">
        <f>SUMIFS('Delivery Plan'!$G:$G,'Delivery Plan'!$H:$H,$A9,'Delivery Plan'!$I:$I,"Done")</f>
        <v/>
      </c>
      <c r="F9" s="22">
        <f>IFERROR(E9/C9,0)</f>
        <v/>
      </c>
    </row>
    <row r="10" ht="34" customHeight="1">
      <c r="A10" s="21" t="inlineStr">
        <is>
          <t>R5</t>
        </is>
      </c>
      <c r="B10" s="5" t="inlineStr">
        <is>
          <t>API frozen at /api/v1 with a real error contract, smoke suite, deployed to the internal server, starts on boot, daily backup</t>
        </is>
      </c>
      <c r="C10" s="4">
        <f>SUMIFS('Delivery Plan'!$G:$G,'Delivery Plan'!$H:$H,$A10)</f>
        <v/>
      </c>
      <c r="D10" s="4">
        <f>COUNTIFS('Delivery Plan'!$H:$H,$A10)</f>
        <v/>
      </c>
      <c r="E10" s="4">
        <f>SUMIFS('Delivery Plan'!$G:$G,'Delivery Plan'!$H:$H,$A10,'Delivery Plan'!$I:$I,"Done")</f>
        <v/>
      </c>
      <c r="F10" s="22">
        <f>IFERROR(E10/C10,0)</f>
        <v/>
      </c>
    </row>
    <row r="11" ht="34" customHeight="1">
      <c r="A11" s="23" t="inlineStr">
        <is>
          <t>NEEDS INPUT</t>
        </is>
      </c>
      <c r="B11" s="11" t="inlineStr">
        <is>
          <t>Blocked on something only you or the organisation can supply — see the next tab</t>
        </is>
      </c>
      <c r="C11" s="10">
        <f>SUMIFS('Delivery Plan'!$G:$G,'Delivery Plan'!$H:$H,$A11)</f>
        <v/>
      </c>
      <c r="D11" s="10">
        <f>COUNTIFS('Delivery Plan'!$H:$H,$A11)</f>
        <v/>
      </c>
      <c r="E11" s="10">
        <f>SUMIFS('Delivery Plan'!$G:$G,'Delivery Plan'!$H:$H,$A11,'Delivery Plan'!$I:$I,"Done")</f>
        <v/>
      </c>
      <c r="F11" s="24">
        <f>IFERROR(E11/C11,0)</f>
        <v/>
      </c>
    </row>
    <row r="12" ht="34" customHeight="1">
      <c r="A12" s="25" t="inlineStr">
        <is>
          <t>BACKLOG</t>
        </is>
      </c>
      <c r="B12" s="13" t="inlineStr">
        <is>
          <t>Agreed but not needed for go-live</t>
        </is>
      </c>
      <c r="C12" s="12">
        <f>SUMIFS('Delivery Plan'!$G:$G,'Delivery Plan'!$H:$H,$A12)</f>
        <v/>
      </c>
      <c r="D12" s="12">
        <f>COUNTIFS('Delivery Plan'!$H:$H,$A12)</f>
        <v/>
      </c>
      <c r="E12" s="12">
        <f>SUMIFS('Delivery Plan'!$G:$G,'Delivery Plan'!$H:$H,$A12,'Delivery Plan'!$I:$I,"Done")</f>
        <v/>
      </c>
      <c r="F12" s="26">
        <f>IFERROR(E12/C12,0)</f>
        <v/>
      </c>
    </row>
    <row r="13">
      <c r="A13" s="27" t="n"/>
      <c r="B13" s="25" t="inlineStr">
        <is>
          <t>TOTAL</t>
        </is>
      </c>
      <c r="C13" s="25">
        <f>SUM(C5:C12)</f>
        <v/>
      </c>
      <c r="D13" s="25">
        <f>SUM(D5:D12)</f>
        <v/>
      </c>
      <c r="E13" s="25">
        <f>SUM(E5:E12)</f>
        <v/>
      </c>
      <c r="F13" s="28">
        <f>IFERROR(E13/C13,0)</f>
        <v/>
      </c>
    </row>
    <row r="15">
      <c r="A15" s="29" t="inlineStr">
        <is>
          <t>Buildable today (R1-R5):</t>
        </is>
      </c>
      <c r="C15" s="29">
        <f>SUMIFS('Delivery Plan'!$G:$G,'Delivery Plan'!$G:$G,"R1")+SUMIFS('Delivery Plan'!$G:$G,'Delivery Plan'!$G:$G,"R2")+SUMIFS('Delivery Plan'!$G:$G,'Delivery Plan'!$G:$G,"R3")+SUMIFS('Delivery Plan'!$G:$G,'Delivery Plan'!$G:$G,"R4")+SUMIFS('Delivery Plan'!$G:$G,'Delivery Plan'!$G:$G,"R5")</f>
        <v/>
      </c>
    </row>
    <row r="16">
      <c r="A16" s="29" t="inlineStr">
        <is>
          <t>Blocked on your input:</t>
        </is>
      </c>
      <c r="C16" s="29">
        <f>SUMIFS('Delivery Plan'!$G:$G,'Delivery Plan'!$G:$G,"NEEDS INPUT")</f>
        <v/>
      </c>
    </row>
    <row r="18">
      <c r="A18" s="2" t="inlineStr">
        <is>
          <t>Every run leaves the app working. If we stop after R3 you still have a usable tool, just without version control.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
  <sheetViews>
    <sheetView showGridLines="0" workbookViewId="0">
      <selection activeCell="A1" sqref="A1"/>
    </sheetView>
  </sheetViews>
  <sheetFormatPr baseColWidth="8" defaultRowHeight="15"/>
  <cols>
    <col width="42" customWidth="1" min="1" max="1"/>
    <col width="40" customWidth="1" min="2" max="2"/>
    <col width="10" customWidth="1" min="3" max="3"/>
    <col width="64" customWidth="1" min="4" max="4"/>
  </cols>
  <sheetData>
    <row r="1">
      <c r="A1" s="1" t="inlineStr">
        <is>
          <t>What I cannot do for you</t>
        </is>
      </c>
    </row>
    <row r="2">
      <c r="A2" s="2" t="inlineStr">
        <is>
          <t>These are real work items, not excuses. Each needs a thing only you or the organisation can supply. Give me the input and the work moves in the same sitting.</t>
        </is>
      </c>
    </row>
    <row r="4">
      <c r="A4" s="16" t="inlineStr">
        <is>
          <t>What I need from you</t>
        </is>
      </c>
      <c r="B4" s="16" t="inlineStr">
        <is>
          <t>Unblocks</t>
        </is>
      </c>
      <c r="C4" s="16" t="inlineStr">
        <is>
          <t>Points</t>
        </is>
      </c>
      <c r="D4" s="16" t="inlineStr">
        <is>
          <t>Why it cannot be faked</t>
        </is>
      </c>
    </row>
    <row r="5" ht="42" customHeight="1">
      <c r="A5" s="5" t="inlineStr">
        <is>
          <t>An LLM API key (Gemini Flash is free at this volume)</t>
        </is>
      </c>
      <c r="B5" s="5" t="inlineStr">
        <is>
          <t>D5, D6 — the sub-60% matching layer</t>
        </is>
      </c>
      <c r="C5" s="4" t="n">
        <v>11</v>
      </c>
      <c r="D5" s="5" t="inlineStr">
        <is>
          <t>Without a provider the third matching layer never runs. Fuzzy alone still works, but the hard lines stay questions for the operator.</t>
        </is>
      </c>
    </row>
    <row r="6" ht="42" customHeight="1">
      <c r="A6" s="5" t="inlineStr">
        <is>
          <t>Ten real scanned or photographed invoices</t>
        </is>
      </c>
      <c r="B6" s="5" t="inlineStr">
        <is>
          <t>F3, F4, F5 — OCR proven end to end</t>
        </is>
      </c>
      <c r="C6" s="4" t="n">
        <v>10</v>
      </c>
      <c r="D6" s="5" t="inlineStr">
        <is>
          <t>OCR accuracy depends entirely on your paper: fonts, stamps, skew, scan quality. Any number I quote from synthetic files would be fiction.</t>
        </is>
      </c>
    </row>
    <row r="7" ht="42" customHeight="1">
      <c r="A7" s="5" t="inlineStr">
        <is>
          <t>Written go-ahead to write into ERPNext UAT</t>
        </is>
      </c>
      <c r="B7" s="5" t="inlineStr">
        <is>
          <t>H4, H6, H7 — items actually created</t>
        </is>
      </c>
      <c r="C7" s="4" t="n">
        <v>15</v>
      </c>
      <c r="D7" s="5" t="inlineStr">
        <is>
          <t>Writing to a live system is your call, not mine. Dry-run shows the exact payload first.</t>
        </is>
      </c>
    </row>
    <row r="8" ht="42" customHeight="1">
      <c r="A8" s="5" t="inlineStr">
        <is>
          <t>An ERPNext login per creator</t>
        </is>
      </c>
      <c r="B8" s="5" t="inlineStr">
        <is>
          <t>H5, H8 — PROD go-live</t>
        </is>
      </c>
      <c r="C8" s="4" t="n">
        <v>8</v>
      </c>
      <c r="D8" s="5" t="inlineStr">
        <is>
          <t>A shared account leaves an audit trail naming nobody. This blocks PROD by design, not by preference.</t>
        </is>
      </c>
    </row>
    <row r="9" ht="42" customHeight="1">
      <c r="A9" s="5" t="inlineStr">
        <is>
          <t>Which desktop or box hosts it, and can it stay on</t>
        </is>
      </c>
      <c r="B9" s="5" t="inlineStr">
        <is>
          <t>J1, F3, J7 — deployment</t>
        </is>
      </c>
      <c r="C9" s="4" t="n">
        <v>9</v>
      </c>
      <c r="D9" s="5" t="inlineStr">
        <is>
          <t>Everything else is ready. I need a machine name and admin rights on it.</t>
        </is>
      </c>
    </row>
    <row r="10" ht="42" customHeight="1">
      <c r="A10" s="5" t="inlineStr">
        <is>
          <t>Your judgement on 889 groups: how far to cut</t>
        </is>
      </c>
      <c r="B10" s="5" t="inlineStr">
        <is>
          <t>I1, I3, I4, I5 — the clean-up</t>
        </is>
      </c>
      <c r="C10" s="4" t="n">
        <v>23</v>
      </c>
      <c r="D10" s="5" t="inlineStr">
        <is>
          <t>Which groups are genuinely duplicates is a business judgement about your materials. Guessing would corrupt the master.</t>
        </is>
      </c>
    </row>
    <row r="11" ht="42" customHeight="1">
      <c r="A11" s="5" t="inlineStr">
        <is>
          <t>CA verification of specialised HSN codes</t>
        </is>
      </c>
      <c r="B11" s="5" t="inlineStr">
        <is>
          <t>I6 — HSN backfill</t>
        </is>
      </c>
      <c r="C11" s="4" t="n">
        <v>5</v>
      </c>
      <c r="D11" s="5" t="inlineStr">
        <is>
          <t>Carried over from the item master work. Wrong HSN is a GST exposure, so it needs a human who is accountable.</t>
        </is>
      </c>
    </row>
    <row r="12" ht="42" customHeight="1">
      <c r="A12" s="5" t="inlineStr">
        <is>
          <t>Two weeks after go-live, and the creators' time</t>
        </is>
      </c>
      <c r="B12" s="5" t="inlineStr">
        <is>
          <t>J4, J5, J6 — training and the watch</t>
        </is>
      </c>
      <c r="C12" s="4" t="n">
        <v>11</v>
      </c>
      <c r="D12" s="5" t="inlineStr">
        <is>
          <t>Training needs people in a room. The watch needs time to pass.</t>
        </is>
      </c>
    </row>
    <row r="13">
      <c r="A13" s="30" t="n"/>
      <c r="B13" s="23" t="inlineStr">
        <is>
          <t>TOTAL BLOCKED</t>
        </is>
      </c>
      <c r="C13" s="23">
        <f>SUM(C5:C12)</f>
        <v/>
      </c>
      <c r="D13" s="30"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
  <sheetViews>
    <sheetView showGridLines="0" workbookViewId="0">
      <selection activeCell="A1" sqref="A1"/>
    </sheetView>
  </sheetViews>
  <sheetFormatPr baseColWidth="8" defaultRowHeight="15"/>
  <cols>
    <col width="24" customWidth="1" min="1" max="1"/>
    <col width="64" customWidth="1" min="2" max="2"/>
    <col width="10" customWidth="1" min="3" max="3"/>
    <col width="10" customWidth="1" min="4" max="4"/>
    <col width="11" customWidth="1" min="5" max="5"/>
    <col width="12" customWidth="1" min="6" max="6"/>
  </cols>
  <sheetData>
    <row r="1">
      <c r="A1" s="1" t="inlineStr">
        <is>
          <t>Epics</t>
        </is>
      </c>
    </row>
    <row r="2">
      <c r="A2" s="2" t="inlineStr">
        <is>
          <t>Calculated from the Delivery Plan.</t>
        </is>
      </c>
    </row>
    <row r="4">
      <c r="A4" s="16" t="inlineStr">
        <is>
          <t>Epic</t>
        </is>
      </c>
      <c r="B4" s="16" t="inlineStr">
        <is>
          <t>What it covers</t>
        </is>
      </c>
      <c r="C4" s="16" t="inlineStr">
        <is>
          <t>Stories</t>
        </is>
      </c>
      <c r="D4" s="16" t="inlineStr">
        <is>
          <t>Points</t>
        </is>
      </c>
      <c r="E4" s="16" t="inlineStr">
        <is>
          <t>Done pts</t>
        </is>
      </c>
      <c r="F4" s="16" t="inlineStr">
        <is>
          <t>Complete %</t>
        </is>
      </c>
    </row>
    <row r="5" ht="28" customHeight="1">
      <c r="A5" s="31" t="inlineStr">
        <is>
          <t>E0 Brand &amp; Shell</t>
        </is>
      </c>
      <c r="B5" s="5" t="inlineStr">
        <is>
          <t>MiniMines palette, logo and typeface; the stats block removed</t>
        </is>
      </c>
      <c r="C5" s="4">
        <f>COUNTIFS('Delivery Plan'!$C:$C,$A5)</f>
        <v/>
      </c>
      <c r="D5" s="4">
        <f>SUMIFS('Delivery Plan'!$G:$G,'Delivery Plan'!$C:$C,$A5)</f>
        <v/>
      </c>
      <c r="E5" s="4">
        <f>SUMIFS('Delivery Plan'!$G:$G,'Delivery Plan'!$C:$C,$A5,'Delivery Plan'!$I:$I,"Done")</f>
        <v/>
      </c>
      <c r="F5" s="22">
        <f>IFERROR(E5/D5,0)</f>
        <v/>
      </c>
    </row>
    <row r="6" ht="28" customHeight="1">
      <c r="A6" s="31" t="inlineStr">
        <is>
          <t>E1 Access &amp; Identity</t>
        </is>
      </c>
      <c r="B6" s="5" t="inlineStr">
        <is>
          <t>The split landing page anyone can use, and a login that leads to creation</t>
        </is>
      </c>
      <c r="C6" s="4">
        <f>COUNTIFS('Delivery Plan'!$C:$C,$A6)</f>
        <v/>
      </c>
      <c r="D6" s="4">
        <f>SUMIFS('Delivery Plan'!$G:$G,'Delivery Plan'!$C:$C,$A6)</f>
        <v/>
      </c>
      <c r="E6" s="4">
        <f>SUMIFS('Delivery Plan'!$G:$G,'Delivery Plan'!$C:$C,$A6,'Delivery Plan'!$I:$I,"Done")</f>
        <v/>
      </c>
      <c r="F6" s="22">
        <f>IFERROR(E6/D6,0)</f>
        <v/>
      </c>
    </row>
    <row r="7" ht="28" customHeight="1">
      <c r="A7" s="31" t="inlineStr">
        <is>
          <t>E2 API v1</t>
        </is>
      </c>
      <c r="B7" s="5" t="inlineStr">
        <is>
          <t>A stable, documented, versioned contract for the larger system</t>
        </is>
      </c>
      <c r="C7" s="4">
        <f>COUNTIFS('Delivery Plan'!$C:$C,$A7)</f>
        <v/>
      </c>
      <c r="D7" s="4">
        <f>SUMIFS('Delivery Plan'!$G:$G,'Delivery Plan'!$C:$C,$A7)</f>
        <v/>
      </c>
      <c r="E7" s="4">
        <f>SUMIFS('Delivery Plan'!$G:$G,'Delivery Plan'!$C:$C,$A7,'Delivery Plan'!$I:$I,"Done")</f>
        <v/>
      </c>
      <c r="F7" s="22">
        <f>IFERROR(E7/D7,0)</f>
        <v/>
      </c>
    </row>
    <row r="8" ht="28" customHeight="1">
      <c r="A8" s="31" t="inlineStr">
        <is>
          <t>E3 Code Engine</t>
        </is>
      </c>
      <c r="B8" s="5" t="inlineStr">
        <is>
          <t>The grammar, three phases, numbering, vacancies, freeze-on-first-use</t>
        </is>
      </c>
      <c r="C8" s="4">
        <f>COUNTIFS('Delivery Plan'!$C:$C,$A8)</f>
        <v/>
      </c>
      <c r="D8" s="4">
        <f>SUMIFS('Delivery Plan'!$G:$G,'Delivery Plan'!$C:$C,$A8)</f>
        <v/>
      </c>
      <c r="E8" s="4">
        <f>SUMIFS('Delivery Plan'!$G:$G,'Delivery Plan'!$C:$C,$A8,'Delivery Plan'!$I:$I,"Done")</f>
        <v/>
      </c>
      <c r="F8" s="22">
        <f>IFERROR(E8/D8,0)</f>
        <v/>
      </c>
    </row>
    <row r="9" ht="28" customHeight="1">
      <c r="A9" s="31" t="inlineStr">
        <is>
          <t>E4 Matching &amp; LLM</t>
        </is>
      </c>
      <c r="B9" s="5" t="inlineStr">
        <is>
          <t>Normaliser, fuzzy blend, alias learning, LLM below 60% confidence</t>
        </is>
      </c>
      <c r="C9" s="4">
        <f>COUNTIFS('Delivery Plan'!$C:$C,$A9)</f>
        <v/>
      </c>
      <c r="D9" s="4">
        <f>SUMIFS('Delivery Plan'!$G:$G,'Delivery Plan'!$C:$C,$A9)</f>
        <v/>
      </c>
      <c r="E9" s="4">
        <f>SUMIFS('Delivery Plan'!$G:$G,'Delivery Plan'!$C:$C,$A9,'Delivery Plan'!$I:$I,"Done")</f>
        <v/>
      </c>
      <c r="F9" s="22">
        <f>IFERROR(E9/D9,0)</f>
        <v/>
      </c>
    </row>
    <row r="10" ht="28" customHeight="1">
      <c r="A10" s="31" t="inlineStr">
        <is>
          <t>E5 Invoice &amp; OCR</t>
        </is>
      </c>
      <c r="B10" s="5" t="inlineStr">
        <is>
          <t>Reading text, PDF, scanned and photographed invoices into resolvable lines</t>
        </is>
      </c>
      <c r="C10" s="4">
        <f>COUNTIFS('Delivery Plan'!$C:$C,$A10)</f>
        <v/>
      </c>
      <c r="D10" s="4">
        <f>SUMIFS('Delivery Plan'!$G:$G,'Delivery Plan'!$C:$C,$A10)</f>
        <v/>
      </c>
      <c r="E10" s="4">
        <f>SUMIFS('Delivery Plan'!$G:$G,'Delivery Plan'!$C:$C,$A10,'Delivery Plan'!$I:$I,"Done")</f>
        <v/>
      </c>
      <c r="F10" s="22">
        <f>IFERROR(E10/D10,0)</f>
        <v/>
      </c>
    </row>
    <row r="11" ht="28" customHeight="1">
      <c r="A11" s="31" t="inlineStr">
        <is>
          <t>E6 Master &amp; Restructure</t>
        </is>
      </c>
      <c r="B11" s="5" t="inlineStr">
        <is>
          <t>Editable master, cascading dropdowns, revision history, revert, restructuring</t>
        </is>
      </c>
      <c r="C11" s="4">
        <f>COUNTIFS('Delivery Plan'!$C:$C,$A11)</f>
        <v/>
      </c>
      <c r="D11" s="4">
        <f>SUMIFS('Delivery Plan'!$G:$G,'Delivery Plan'!$C:$C,$A11)</f>
        <v/>
      </c>
      <c r="E11" s="4">
        <f>SUMIFS('Delivery Plan'!$G:$G,'Delivery Plan'!$C:$C,$A11,'Delivery Plan'!$I:$I,"Done")</f>
        <v/>
      </c>
      <c r="F11" s="22">
        <f>IFERROR(E11/D11,0)</f>
        <v/>
      </c>
    </row>
    <row r="12" ht="28" customHeight="1">
      <c r="A12" s="31" t="inlineStr">
        <is>
          <t>E7 ERPNext</t>
        </is>
      </c>
      <c r="B12" s="5" t="inlineStr">
        <is>
          <t>Reading live truth, and writing items back on submit</t>
        </is>
      </c>
      <c r="C12" s="4">
        <f>COUNTIFS('Delivery Plan'!$C:$C,$A12)</f>
        <v/>
      </c>
      <c r="D12" s="4">
        <f>SUMIFS('Delivery Plan'!$G:$G,'Delivery Plan'!$C:$C,$A12)</f>
        <v/>
      </c>
      <c r="E12" s="4">
        <f>SUMIFS('Delivery Plan'!$G:$G,'Delivery Plan'!$C:$C,$A12,'Delivery Plan'!$I:$I,"Done")</f>
        <v/>
      </c>
      <c r="F12" s="22">
        <f>IFERROR(E12/D12,0)</f>
        <v/>
      </c>
    </row>
    <row r="13" ht="28" customHeight="1">
      <c r="A13" s="31" t="inlineStr">
        <is>
          <t>E8 Data Quality</t>
        </is>
      </c>
      <c r="B13" s="5" t="inlineStr">
        <is>
          <t>Duplicate groups, junk codes, missing HSN</t>
        </is>
      </c>
      <c r="C13" s="4">
        <f>COUNTIFS('Delivery Plan'!$C:$C,$A13)</f>
        <v/>
      </c>
      <c r="D13" s="4">
        <f>SUMIFS('Delivery Plan'!$G:$G,'Delivery Plan'!$C:$C,$A13)</f>
        <v/>
      </c>
      <c r="E13" s="4">
        <f>SUMIFS('Delivery Plan'!$G:$G,'Delivery Plan'!$C:$C,$A13,'Delivery Plan'!$I:$I,"Done")</f>
        <v/>
      </c>
      <c r="F13" s="22">
        <f>IFERROR(E13/D13,0)</f>
        <v/>
      </c>
    </row>
    <row r="14" ht="28" customHeight="1">
      <c r="A14" s="31" t="inlineStr">
        <is>
          <t>E9 Deploy &amp; Handover</t>
        </is>
      </c>
      <c r="B14" s="5" t="inlineStr">
        <is>
          <t>Server, backup, start-on-boot, training, runbook, post-launch watch</t>
        </is>
      </c>
      <c r="C14" s="4">
        <f>COUNTIFS('Delivery Plan'!$C:$C,$A14)</f>
        <v/>
      </c>
      <c r="D14" s="4">
        <f>SUMIFS('Delivery Plan'!$G:$G,'Delivery Plan'!$C:$C,$A14)</f>
        <v/>
      </c>
      <c r="E14" s="4">
        <f>SUMIFS('Delivery Plan'!$G:$G,'Delivery Plan'!$C:$C,$A14,'Delivery Plan'!$I:$I,"Done")</f>
        <v/>
      </c>
      <c r="F14" s="22">
        <f>IFERROR(E14/D14,0)</f>
        <v/>
      </c>
    </row>
    <row r="15">
      <c r="A15" s="27" t="n"/>
      <c r="B15" s="25" t="inlineStr">
        <is>
          <t>TOTAL</t>
        </is>
      </c>
      <c r="C15" s="25">
        <f>SUM(C5:C14)</f>
        <v/>
      </c>
      <c r="D15" s="25">
        <f>SUM(D5:D14)</f>
        <v/>
      </c>
      <c r="E15" s="25">
        <f>SUM(E5:E14)</f>
        <v/>
      </c>
      <c r="F15" s="28">
        <f>IFERROR(E15/D15,0)</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3"/>
  <sheetViews>
    <sheetView showGridLines="0" workbookViewId="0">
      <selection activeCell="A1" sqref="A1"/>
    </sheetView>
  </sheetViews>
  <sheetFormatPr baseColWidth="8" defaultRowHeight="15"/>
  <cols>
    <col width="5" customWidth="1" min="1" max="1"/>
    <col width="54" customWidth="1" min="2" max="2"/>
    <col width="11" customWidth="1" min="3" max="3"/>
    <col width="12" customWidth="1" min="4" max="4"/>
    <col width="60" customWidth="1" min="5" max="5"/>
    <col width="13" customWidth="1" min="6" max="6"/>
  </cols>
  <sheetData>
    <row r="1">
      <c r="A1" s="1" t="inlineStr">
        <is>
          <t>Risks</t>
        </is>
      </c>
    </row>
    <row r="3">
      <c r="A3" s="16" t="inlineStr">
        <is>
          <t>#</t>
        </is>
      </c>
      <c r="B3" s="16" t="inlineStr">
        <is>
          <t>Risk</t>
        </is>
      </c>
      <c r="C3" s="16" t="inlineStr">
        <is>
          <t>Impact</t>
        </is>
      </c>
      <c r="D3" s="16" t="inlineStr">
        <is>
          <t>Likelihood</t>
        </is>
      </c>
      <c r="E3" s="16" t="inlineStr">
        <is>
          <t>Response</t>
        </is>
      </c>
      <c r="F3" s="16" t="inlineStr">
        <is>
          <t>Status</t>
        </is>
      </c>
    </row>
    <row r="4" ht="36" customHeight="1">
      <c r="A4" s="4" t="n">
        <v>1</v>
      </c>
      <c r="B4" s="5" t="inlineStr">
        <is>
          <t>Building all five runs in one sitting means less testing per feature than the six-sprint plan allowed.</t>
        </is>
      </c>
      <c r="C4" s="32" t="inlineStr">
        <is>
          <t>High</t>
        </is>
      </c>
      <c r="D4" s="4" t="inlineStr">
        <is>
          <t>Certain</t>
        </is>
      </c>
      <c r="E4" s="5" t="inlineStr">
        <is>
          <t>Each run ends working and is exercised against the real seeded data before the next starts. Where a run is thin, it is named in the handover rather than hidden.</t>
        </is>
      </c>
      <c r="F4" s="4" t="inlineStr">
        <is>
          <t>Accepted</t>
        </is>
      </c>
    </row>
    <row r="5" ht="36" customHeight="1">
      <c r="A5" s="4" t="n">
        <v>2</v>
      </c>
      <c r="B5" s="5" t="inlineStr">
        <is>
          <t>Version control plus freeze-on-first-use interact awkwardly: a revert cannot restore a code that ERPNext has frozen.</t>
        </is>
      </c>
      <c r="C5" s="32" t="inlineStr">
        <is>
          <t>High</t>
        </is>
      </c>
      <c r="D5" s="4" t="inlineStr">
        <is>
          <t>Likely</t>
        </is>
      </c>
      <c r="E5" s="5" t="inlineStr">
        <is>
          <t>K10 makes revert restore fields only, and say plainly what it could not restore. Never a silent partial revert.</t>
        </is>
      </c>
      <c r="F5" s="4" t="inlineStr">
        <is>
          <t>Open</t>
        </is>
      </c>
    </row>
    <row r="6" ht="36" customHeight="1">
      <c r="A6" s="4" t="n">
        <v>3</v>
      </c>
      <c r="B6" s="5" t="inlineStr">
        <is>
          <t>OCR accuracy is completely unmeasured on your paper.</t>
        </is>
      </c>
      <c r="C6" s="32" t="inlineStr">
        <is>
          <t>High</t>
        </is>
      </c>
      <c r="D6" s="4" t="inlineStr">
        <is>
          <t>Possible</t>
        </is>
      </c>
      <c r="E6" s="5" t="inlineStr">
        <is>
          <t>Blocked on ten real invoices. Until then OCR is present but unproven, and the handover says so.</t>
        </is>
      </c>
      <c r="F6" s="4" t="inlineStr">
        <is>
          <t>Blocked</t>
        </is>
      </c>
    </row>
    <row r="7" ht="36" customHeight="1">
      <c r="A7" s="4" t="n">
        <v>4</v>
      </c>
      <c r="B7" s="5" t="inlineStr">
        <is>
          <t>The host is a single point of failure. If it sleeps, nobody can issue a code.</t>
        </is>
      </c>
      <c r="C7" s="32" t="inlineStr">
        <is>
          <t>High</t>
        </is>
      </c>
      <c r="D7" s="4" t="inlineStr">
        <is>
          <t>Likely</t>
        </is>
      </c>
      <c r="E7" s="5" t="inlineStr">
        <is>
          <t>Daily off-machine backup, start-on-boot. Move to an always-on box if it bites.</t>
        </is>
      </c>
      <c r="F7" s="4" t="inlineStr">
        <is>
          <t>Open</t>
        </is>
      </c>
    </row>
    <row r="8" ht="36" customHeight="1">
      <c r="A8" s="4" t="n">
        <v>5</v>
      </c>
      <c r="B8" s="5" t="inlineStr">
        <is>
          <t>Passwords cross the LAN in the clear over plain HTTP.</t>
        </is>
      </c>
      <c r="C8" s="10" t="inlineStr">
        <is>
          <t>Medium</t>
        </is>
      </c>
      <c r="D8" s="4" t="inlineStr">
        <is>
          <t>Certain</t>
        </is>
      </c>
      <c r="E8" s="5" t="inlineStr">
        <is>
          <t>Accepted for an internal tool. Use passwords not reused elsewhere. TLS if it ever leaves the LAN.</t>
        </is>
      </c>
      <c r="F8" s="4" t="inlineStr">
        <is>
          <t>Accepted</t>
        </is>
      </c>
    </row>
    <row r="9" ht="36" customHeight="1">
      <c r="A9" s="4" t="n">
        <v>6</v>
      </c>
      <c r="B9" s="5" t="inlineStr">
        <is>
          <t>Group de-duplication keeps slipping. Every month more codes freeze and the clean-up gets permanently dearer.</t>
        </is>
      </c>
      <c r="C9" s="32" t="inlineStr">
        <is>
          <t>High</t>
        </is>
      </c>
      <c r="D9" s="4" t="inlineStr">
        <is>
          <t>Likely</t>
        </is>
      </c>
      <c r="E9" s="5" t="inlineStr">
        <is>
          <t>Blocked on your judgement. This is the item I would push hardest to unblock first.</t>
        </is>
      </c>
      <c r="F9" s="4" t="inlineStr">
        <is>
          <t>Blocked</t>
        </is>
      </c>
    </row>
    <row r="10" ht="36" customHeight="1">
      <c r="A10" s="4" t="n">
        <v>7</v>
      </c>
      <c r="B10" s="5" t="inlineStr">
        <is>
          <t>Writing to PROD under a shared account leaves an audit trail naming nobody.</t>
        </is>
      </c>
      <c r="C10" s="32" t="inlineStr">
        <is>
          <t>High</t>
        </is>
      </c>
      <c r="D10" s="4" t="inlineStr">
        <is>
          <t>Certain</t>
        </is>
      </c>
      <c r="E10" s="5" t="inlineStr">
        <is>
          <t>Per-creator ERP credentials block PROD go-live by design.</t>
        </is>
      </c>
      <c r="F10" s="4" t="inlineStr">
        <is>
          <t>Blocked</t>
        </is>
      </c>
    </row>
    <row r="11" ht="36" customHeight="1">
      <c r="A11" s="4" t="n">
        <v>8</v>
      </c>
      <c r="B11" s="5" t="inlineStr">
        <is>
          <t>Anyone who can log in can restructure the master, with no approval gate, by instruction.</t>
        </is>
      </c>
      <c r="C11" s="10" t="inlineStr">
        <is>
          <t>Medium</t>
        </is>
      </c>
      <c r="D11" s="4" t="inlineStr">
        <is>
          <t>Possible</t>
        </is>
      </c>
      <c r="E11" s="5" t="inlineStr">
        <is>
          <t>Preview, attribution, full revision history and one-click revert. Revisit only if it actually causes harm.</t>
        </is>
      </c>
      <c r="F11" s="4" t="inlineStr">
        <is>
          <t>Accepted</t>
        </is>
      </c>
    </row>
    <row r="12" ht="36" customHeight="1">
      <c r="A12" s="4" t="n">
        <v>9</v>
      </c>
      <c r="B12" s="5" t="inlineStr">
        <is>
          <t>A structural change re-codes an item ERPNext has already transacted.</t>
        </is>
      </c>
      <c r="C12" s="32" t="inlineStr">
        <is>
          <t>High</t>
        </is>
      </c>
      <c r="D12" s="4" t="inlineStr">
        <is>
          <t>Unlikely</t>
        </is>
      </c>
      <c r="E12" s="5" t="inlineStr">
        <is>
          <t>Freeze-on-first-use makes it impossible by design; every change is previewed first.</t>
        </is>
      </c>
      <c r="F12" s="4" t="inlineStr">
        <is>
          <t>Mitigated</t>
        </is>
      </c>
    </row>
    <row r="13" ht="36" customHeight="1">
      <c r="A13" s="4" t="n">
        <v>10</v>
      </c>
      <c r="B13" s="5" t="inlineStr">
        <is>
          <t>The larger system builds against an API that then shifts underneath it.</t>
        </is>
      </c>
      <c r="C13" s="10" t="inlineStr">
        <is>
          <t>Medium</t>
        </is>
      </c>
      <c r="D13" s="4" t="inlineStr">
        <is>
          <t>Possible</t>
        </is>
      </c>
      <c r="E13" s="5" t="inlineStr">
        <is>
          <t>R5 freezes the contract at /api/v1 before anyone integrates.</t>
        </is>
      </c>
      <c r="F13" s="4" t="inlineStr">
        <is>
          <t>Open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5" customWidth="1" min="1" max="1"/>
    <col width="62" customWidth="1" min="2" max="2"/>
    <col width="70" customWidth="1" min="3" max="3"/>
    <col width="20" customWidth="1" min="4" max="4"/>
  </cols>
  <sheetData>
    <row r="1">
      <c r="A1" s="1" t="inlineStr">
        <is>
          <t>Decision log</t>
        </is>
      </c>
    </row>
    <row r="2">
      <c r="A2" s="2" t="inlineStr">
        <is>
          <t>Amber rows need your word before or during the build.</t>
        </is>
      </c>
    </row>
    <row r="4">
      <c r="A4" s="16" t="inlineStr">
        <is>
          <t>#</t>
        </is>
      </c>
      <c r="B4" s="16" t="inlineStr">
        <is>
          <t>Decision</t>
        </is>
      </c>
      <c r="C4" s="16" t="inlineStr">
        <is>
          <t>Rationale</t>
        </is>
      </c>
      <c r="D4" s="16" t="inlineStr">
        <is>
          <t>Status</t>
        </is>
      </c>
    </row>
    <row r="5" ht="30" customHeight="1">
      <c r="A5" s="4" t="n">
        <v>1</v>
      </c>
      <c r="B5" s="5" t="inlineStr">
        <is>
          <t>Variable-length codes, never padded</t>
        </is>
      </c>
      <c r="C5" s="5" t="inlineStr">
        <is>
          <t>Interior gaps carry meaning as 00; trailing gaps carry none. Lengths 7/9/11/13/15/17.</t>
        </is>
      </c>
      <c r="D5" s="4" t="inlineStr">
        <is>
          <t>Locked</t>
        </is>
      </c>
    </row>
    <row r="6" ht="30" customHeight="1">
      <c r="A6" s="4" t="n">
        <v>2</v>
      </c>
      <c r="B6" s="5" t="inlineStr">
        <is>
          <t>Vendor sits last, only in groups that declare it</t>
        </is>
      </c>
      <c r="C6" s="5" t="inlineStr">
        <is>
          <t>Four battery groups declare a Maker slot. Elsewhere one item keeps one code regardless of supplier.</t>
        </is>
      </c>
      <c r="D6" s="4" t="inlineStr">
        <is>
          <t>Locked</t>
        </is>
      </c>
    </row>
    <row r="7" ht="30" customHeight="1">
      <c r="A7" s="4" t="n">
        <v>3</v>
      </c>
      <c r="B7" s="5" t="inlineStr">
        <is>
          <t>Vendor from the invoice line only, never the header</t>
        </is>
      </c>
      <c r="C7" s="5" t="inlineStr">
        <is>
          <t>A supplier named at the top of a page says nothing about an individual line.</t>
        </is>
      </c>
      <c r="D7" s="4" t="inlineStr">
        <is>
          <t>Locked</t>
        </is>
      </c>
    </row>
    <row r="8" ht="30" customHeight="1">
      <c r="A8" s="4" t="n">
        <v>4</v>
      </c>
      <c r="B8" s="5" t="inlineStr">
        <is>
          <t>No -R / -W / -F state suffixes</t>
        </is>
      </c>
      <c r="C8" s="5" t="inlineStr">
        <is>
          <t>Removed entirely.</t>
        </is>
      </c>
      <c r="D8" s="4" t="inlineStr">
        <is>
          <t>Locked</t>
        </is>
      </c>
    </row>
    <row r="9" ht="30" customHeight="1">
      <c r="A9" s="4" t="n">
        <v>5</v>
      </c>
      <c r="B9" s="5" t="inlineStr">
        <is>
          <t>Spec slot meaning is per group</t>
        </is>
      </c>
      <c r="C9" s="5" t="inlineStr">
        <is>
          <t>Air Freshener uses Type and Size; Battery Pack uses Form Factor, Chemistry, Size, Capacity, Maker.</t>
        </is>
      </c>
      <c r="D9" s="4" t="inlineStr">
        <is>
          <t>Locked</t>
        </is>
      </c>
    </row>
    <row r="10" ht="30" customHeight="1">
      <c r="A10" s="4" t="n">
        <v>6</v>
      </c>
      <c r="B10" s="5" t="inlineStr">
        <is>
          <t>Group numbers restart inside each sub-head</t>
        </is>
      </c>
      <c r="C10" s="5" t="inlineStr">
        <is>
          <t>999 per sub-head is ample at 889 groups.</t>
        </is>
      </c>
      <c r="D10" s="4" t="inlineStr">
        <is>
          <t>Locked</t>
        </is>
      </c>
    </row>
    <row r="11" ht="30" customHeight="1">
      <c r="A11" s="4" t="n">
        <v>7</v>
      </c>
      <c r="B11" s="5" t="inlineStr">
        <is>
          <t>A vacated group number is parked, not reused</t>
        </is>
      </c>
      <c r="C11" s="5" t="inlineStr">
        <is>
          <t>Released only to a &gt;=88% name match. The number carries the meaning of what held it.</t>
        </is>
      </c>
      <c r="D11" s="4" t="inlineStr">
        <is>
          <t>Locked</t>
        </is>
      </c>
    </row>
    <row r="12" ht="30" customHeight="1">
      <c r="A12" s="4" t="n">
        <v>8</v>
      </c>
      <c r="B12" s="5" t="inlineStr">
        <is>
          <t>Prefix collisions walk to the next free combination</t>
        </is>
      </c>
      <c r="C12" s="5" t="inlineStr">
        <is>
          <t>Seeded prefixes read from codes already issued, so CEEU and its like survive.</t>
        </is>
      </c>
      <c r="D12" s="4" t="inlineStr">
        <is>
          <t>Locked</t>
        </is>
      </c>
    </row>
    <row r="13" ht="30" customHeight="1">
      <c r="A13" s="4" t="n">
        <v>9</v>
      </c>
      <c r="B13" s="5" t="inlineStr">
        <is>
          <t>No approval workflow</t>
        </is>
      </c>
      <c r="C13" s="5" t="inlineStr">
        <is>
          <t>Preview, attribution, revision history and revert replace permission.</t>
        </is>
      </c>
      <c r="D13" s="4" t="inlineStr">
        <is>
          <t>Locked</t>
        </is>
      </c>
    </row>
    <row r="14" ht="30" customHeight="1">
      <c r="A14" s="4" t="n">
        <v>10</v>
      </c>
      <c r="B14" s="5" t="inlineStr">
        <is>
          <t>Two tiers, not roles: public read, login to create</t>
        </is>
      </c>
      <c r="C14" s="5" t="inlineStr">
        <is>
          <t>You have two kinds of people and one permission. A role matrix would never earn its keep.</t>
        </is>
      </c>
      <c r="D14" s="4" t="inlineStr">
        <is>
          <t>Locked</t>
        </is>
      </c>
    </row>
    <row r="15" ht="30" customHeight="1">
      <c r="A15" s="4" t="n">
        <v>11</v>
      </c>
      <c r="B15" s="5" t="inlineStr">
        <is>
          <t>Landing page is split: decoder one side, directory the other</t>
        </is>
      </c>
      <c r="C15" s="5" t="inlineStr">
        <is>
          <t>Most people only ever need to look something up. That is the front door.</t>
        </is>
      </c>
      <c r="D15" s="4" t="inlineStr">
        <is>
          <t>Locked</t>
        </is>
      </c>
    </row>
    <row r="16" ht="30" customHeight="1">
      <c r="A16" s="4" t="n">
        <v>12</v>
      </c>
      <c r="B16" s="5" t="inlineStr">
        <is>
          <t>Item master is the editable twin of the public directory</t>
        </is>
      </c>
      <c r="C16" s="5" t="inlineStr">
        <is>
          <t>Same rows, same columns, editable behind the login.</t>
        </is>
      </c>
      <c r="D16" s="4" t="inlineStr">
        <is>
          <t>Locked</t>
        </is>
      </c>
    </row>
    <row r="17" ht="30" customHeight="1">
      <c r="A17" s="4" t="n">
        <v>13</v>
      </c>
      <c r="B17" s="5" t="inlineStr">
        <is>
          <t>Every save is a version, and any version can be restored</t>
        </is>
      </c>
      <c r="C17" s="5" t="inlineStr">
        <is>
          <t>Replaces approval with reversibility.</t>
        </is>
      </c>
      <c r="D17" s="4" t="inlineStr">
        <is>
          <t>Locked</t>
        </is>
      </c>
    </row>
    <row r="18" ht="30" customHeight="1">
      <c r="A18" s="10" t="n">
        <v>14</v>
      </c>
      <c r="B18" s="11" t="inlineStr">
        <is>
          <t>Simple username and password, no OTP, no SSO</t>
        </is>
      </c>
      <c r="C18" s="11" t="inlineStr">
        <is>
          <t>Read from 'simple authentication'. If you meant a one-time code by email or SMS, say so — it needs a delivery channel and is a different build.</t>
        </is>
      </c>
      <c r="D18" s="10" t="inlineStr">
        <is>
          <t>For confirmation</t>
        </is>
      </c>
    </row>
    <row r="19" ht="30" customHeight="1">
      <c r="A19" s="4" t="n">
        <v>15</v>
      </c>
      <c r="B19" s="5" t="inlineStr">
        <is>
          <t>LLM-first matching, rules as guardrail and fallback</t>
        </is>
      </c>
      <c r="C19" s="5" t="inlineStr">
        <is>
          <t>The LLM decides group then specs; the rules build the shortlist, hold the veto, and take over entirely on rate limit or outage.</t>
        </is>
      </c>
      <c r="D19" s="4" t="inlineStr">
        <is>
          <t>Locked</t>
        </is>
      </c>
    </row>
    <row r="20" ht="30" customHeight="1">
      <c r="A20" s="10" t="n">
        <v>19</v>
      </c>
      <c r="B20" s="11" t="inlineStr">
        <is>
          <t>Vacated numbers are claimed by matching, not by queue position</t>
        </is>
      </c>
      <c r="C20" s="11" t="inlineStr">
        <is>
          <t>A reserved number waits for something that genuinely matches what left, rather than going to the next arrival.</t>
        </is>
      </c>
      <c r="D20" s="10" t="inlineStr">
        <is>
          <t>For confirmation</t>
        </is>
      </c>
    </row>
    <row r="21" ht="30" customHeight="1">
      <c r="A21" s="10" t="n">
        <v>20</v>
      </c>
      <c r="B21" s="11" t="inlineStr">
        <is>
          <t>Populate Wahni's ERPNext specification fields</t>
        </is>
      </c>
      <c r="C21" s="11" t="inlineStr">
        <is>
          <t>ERP already has item_specification_1-4, item_vendor and 62 spec records, barely used. Populate them rather than leave two parallel systems.</t>
        </is>
      </c>
      <c r="D21" s="10" t="inlineStr">
        <is>
          <t>For confirmation</t>
        </is>
      </c>
    </row>
    <row r="22" ht="30" customHeight="1">
      <c r="A22" s="10" t="n">
        <v>21</v>
      </c>
      <c r="B22" s="11" t="inlineStr">
        <is>
          <t>Map our taxonomy onto ERP Item Groups at sub-head level</t>
        </is>
      </c>
      <c r="C22" s="11" t="inlineStr">
        <is>
          <t>ERP has 23 item groups, we have 889. Creating 889 would wreck their reporting tree.</t>
        </is>
      </c>
      <c r="D22" s="10" t="inlineStr">
        <is>
          <t>For confirmation</t>
        </is>
      </c>
    </row>
    <row r="23" ht="30" customHeight="1">
      <c r="A23" s="10" t="n">
        <v>16</v>
      </c>
      <c r="B23" s="11" t="inlineStr">
        <is>
          <t>Freeze on first use: codes live in ERPNext are never rewritten</t>
        </is>
      </c>
      <c r="C23" s="11" t="inlineStr">
        <is>
          <t>Submitted Frappe documents are immutable and renames cascade. Kept and flagged stale instead.</t>
        </is>
      </c>
      <c r="D23" s="10" t="inlineStr">
        <is>
          <t>For confirmation</t>
        </is>
      </c>
    </row>
    <row r="24" ht="30" customHeight="1">
      <c r="A24" s="10" t="n">
        <v>17</v>
      </c>
      <c r="B24" s="11" t="inlineStr">
        <is>
          <t>A revert restores fields, never a frozen code</t>
        </is>
      </c>
      <c r="C24" s="11" t="inlineStr">
        <is>
          <t>Where version control meets ERPNext reality. It says plainly what it could not restore.</t>
        </is>
      </c>
      <c r="D24" s="10" t="inlineStr">
        <is>
          <t>For confirmation</t>
        </is>
      </c>
    </row>
    <row r="25" ht="30" customHeight="1">
      <c r="A25" s="4" t="n">
        <v>18</v>
      </c>
      <c r="B25" s="5" t="inlineStr">
        <is>
          <t>One SQLite file on one internal server</t>
        </is>
      </c>
      <c r="C25" s="5" t="inlineStr">
        <is>
          <t>Makes duplicate codes structurally impossible. Accepts the host as a single point of failure.</t>
        </is>
      </c>
      <c r="D25" s="4" t="inlineStr">
        <is>
          <t>Locked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5" customWidth="1" min="1" max="1"/>
    <col width="96" customWidth="1" min="2" max="2"/>
  </cols>
  <sheetData>
    <row r="1">
      <c r="A1" s="1" t="inlineStr">
        <is>
          <t>Definition of Done</t>
        </is>
      </c>
    </row>
    <row r="2">
      <c r="A2" s="2" t="inlineStr">
        <is>
          <t>Compressed to one sitting, so this is the floor, not the ceiling.</t>
        </is>
      </c>
    </row>
    <row r="4" ht="26" customHeight="1">
      <c r="A4" s="33" t="n">
        <v>1</v>
      </c>
      <c r="B4" s="34" t="inlineStr">
        <is>
          <t>The acceptance criteria on the Delivery Plan row are met as written, not as reinterpreted.</t>
        </is>
      </c>
    </row>
    <row r="5" ht="26" customHeight="1">
      <c r="A5" s="33" t="n">
        <v>2</v>
      </c>
      <c r="B5" s="34" t="inlineStr">
        <is>
          <t>Exercised against the real seeded data — 889 groups, 1,947 items, 2,677 live ERP codes — never a toy fixture.</t>
        </is>
      </c>
    </row>
    <row r="6" ht="26" customHeight="1">
      <c r="A6" s="33" t="n">
        <v>3</v>
      </c>
      <c r="B6" s="34" t="inlineStr">
        <is>
          <t>Any rule that protects the master is enforced in the API, not only in the interface.</t>
        </is>
      </c>
    </row>
    <row r="7" ht="26" customHeight="1">
      <c r="A7" s="33" t="n">
        <v>4</v>
      </c>
      <c r="B7" s="34" t="inlineStr">
        <is>
          <t>One failure path tried on purpose, producing a clear message rather than a crash or a silent wrong answer.</t>
        </is>
      </c>
    </row>
    <row r="8" ht="26" customHeight="1">
      <c r="A8" s="33" t="n">
        <v>5</v>
      </c>
      <c r="B8" s="34" t="inlineStr">
        <is>
          <t>Every write is attributed to the authenticated user and appears in the activity log.</t>
        </is>
      </c>
    </row>
    <row r="9" ht="26" customHeight="1">
      <c r="A9" s="33" t="n">
        <v>6</v>
      </c>
      <c r="B9" s="34" t="inlineStr">
        <is>
          <t>The app still starts and the previous runs still work.</t>
        </is>
      </c>
    </row>
    <row r="10" ht="26" customHeight="1">
      <c r="A10" s="33" t="n">
        <v>7</v>
      </c>
      <c r="B10" s="34" t="inlineStr">
        <is>
          <t>Anything thin or untested is written into the handover, not carried in someone's head.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2026-08-06T10:43:58Z</dcterms:created>
  <dcterms:modified xmlns:dcterms="http://purl.org/dc/terms/" xmlns:xsi="http://www.w3.org/2001/XMLSchema-instance" xsi:type="dcterms:W3CDTF">2026-08-07T09:47:39Z</dcterms:modified>
</cp:coreProperties>
</file>